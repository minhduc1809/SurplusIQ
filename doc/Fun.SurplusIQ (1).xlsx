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Features_Khách hàng" sheetId="1" r:id="rId5"/>
    <sheet state="visible" name="Task" sheetId="2" r:id="rId6"/>
    <sheet state="visible" name="02_Features_Chủ cửa hàng" sheetId="3" r:id="rId7"/>
    <sheet state="visible" name="03_Service_Packages" sheetId="4" r:id="rId8"/>
    <sheet state="visible" name="Log_BE" sheetId="5" r:id="rId9"/>
  </sheets>
  <definedNames>
    <definedName hidden="1" localSheetId="0" name="Z_D118E73F_AE76_4DE0_B986_BBB98783FBEB_.wvu.FilterData">'01_Features_Khách hàng'!$A$1:$N$95</definedName>
    <definedName hidden="1" localSheetId="3" name="Z_B464B3FA_D15F_4AB4_9960_E3BD9DDD104F_.wvu.FilterData">'03_Service_Packages'!$A$2:$J$6</definedName>
    <definedName hidden="1" localSheetId="3" name="Z_E4CEDF88_C699_4072_8889_EEAF7B2F7552_.wvu.FilterData">'03_Service_Packages'!$A$358:$H$369</definedName>
    <definedName hidden="1" localSheetId="2" name="Z_0C54E543_E13C_48C4_B68D_717898624882_.wvu.FilterData">'02_Features_Chủ cửa hàng'!$A$1:$M$127</definedName>
    <definedName hidden="1" localSheetId="3" name="Z_7A81022D_E914_4136_86F3_E62CD62EF7DF_.wvu.FilterData">'03_Service_Packages'!$A$9:$K$355</definedName>
  </definedNames>
  <calcPr/>
  <customWorkbookViews>
    <customWorkbookView activeSheetId="0" maximized="1" windowHeight="0" windowWidth="0" guid="{D118E73F-AE76-4DE0-B986-BBB98783FBEB}" name="tblRole1 filter view"/>
    <customWorkbookView activeSheetId="0" maximized="1" windowHeight="0" windowWidth="0" guid="{B464B3FA-D15F-4AB4-9960-E3BD9DDD104F}" name="tblPackages filter view"/>
    <customWorkbookView activeSheetId="0" maximized="1" windowHeight="0" windowWidth="0" guid="{E4CEDF88-C699-4072-8889-EEAF7B2F7552}" name="tblLifecycle filter view"/>
    <customWorkbookView activeSheetId="0" maximized="1" windowHeight="0" windowWidth="0" guid="{0C54E543-E13C-48C4-B68D-717898624882}" name="tblRole2 filter view"/>
    <customWorkbookView activeSheetId="0" maximized="1" windowHeight="0" windowWidth="0" guid="{7A81022D-E914-4136-86F3-E62CD62EF7DF}" name="tblMatrix filter view"/>
  </customWorkbookViews>
</workbook>
</file>

<file path=xl/sharedStrings.xml><?xml version="1.0" encoding="utf-8"?>
<sst xmlns="http://schemas.openxmlformats.org/spreadsheetml/2006/main" count="6192" uniqueCount="2161">
  <si>
    <t>STT</t>
  </si>
  <si>
    <t>Module</t>
  </si>
  <si>
    <t>Công việc</t>
  </si>
  <si>
    <t>BE phụ trách</t>
  </si>
  <si>
    <t>FE Web phụ trách</t>
  </si>
  <si>
    <t>FE App phụ trách</t>
  </si>
  <si>
    <t>Nền tảng</t>
  </si>
  <si>
    <t>Khởi tạo cấu trúc dự án, cấu hình môi trường</t>
  </si>
  <si>
    <t>Đức</t>
  </si>
  <si>
    <t>Đăng</t>
  </si>
  <si>
    <t>Thảo</t>
  </si>
  <si>
    <t>Database</t>
  </si>
  <si>
    <t>Thiết kế database, quan hệ bảng, migration</t>
  </si>
  <si>
    <t>Tài khoản</t>
  </si>
  <si>
    <t>API đăng ký, đăng nhập, xác thực, phân quyền</t>
  </si>
  <si>
    <t>Giao diện đăng nhập, đăng ký cửa hàng</t>
  </si>
  <si>
    <t>Giao diện đăng nhập, đăng ký khách hàng</t>
  </si>
  <si>
    <t>Cửa hàng</t>
  </si>
  <si>
    <t>API hồ sơ và thông tin cửa hàng</t>
  </si>
  <si>
    <t>Giao diện hồ sơ, cấu hình cửa hàng</t>
  </si>
  <si>
    <t>Sản phẩm</t>
  </si>
  <si>
    <t>API danh mục, thêm, sửa, xóa, truy vấn sản phẩm</t>
  </si>
  <si>
    <t>Giao diện quản lý sản phẩm, import CSV</t>
  </si>
  <si>
    <t>Giao diện xem danh sách và chi tiết sản phẩm</t>
  </si>
  <si>
    <t>Deal</t>
  </si>
  <si>
    <t>API tạo, cập nhật, truy vấn và tìm kiếm deal</t>
  </si>
  <si>
    <t>Giao diện quản lý deal</t>
  </si>
  <si>
    <t>Giao diện khám phá, lọc, xem chi tiết deal</t>
  </si>
  <si>
    <t>Lịch bán/tồn kho</t>
  </si>
  <si>
    <t>API quản lý khung giờ, số lượng và tồn kho</t>
  </si>
  <si>
    <t>Giao diện thiết lập lịch bán, số lượng</t>
  </si>
  <si>
    <t>Hiển thị khung giờ, số lượng còn lại</t>
  </si>
  <si>
    <t>Đặt hàng</t>
  </si>
  <si>
    <t>API tạo đơn, kiểm tra tồn kho, cập nhật trạng thái</t>
  </si>
  <si>
    <t>Giao diện danh sách, chi tiết và xử lý đơn hàng</t>
  </si>
  <si>
    <t>Giao diện đặt hàng, lịch sử và chi tiết đơn</t>
  </si>
  <si>
    <t>Thanh toán</t>
  </si>
  <si>
    <t>API thanh toán, xử lý kết quả giao dịch</t>
  </si>
  <si>
    <t>Tính năng cấp 1</t>
  </si>
  <si>
    <t>Giao diện thanh toán và kết quả thanh toán</t>
  </si>
  <si>
    <t>PHẦN A - DANH MỤC GÓI DỊCH VỤ</t>
  </si>
  <si>
    <t>Nhận hàng</t>
  </si>
  <si>
    <t>Tính năng cấp 2</t>
  </si>
  <si>
    <t>API tạo và xác thực QR nhận hàng</t>
  </si>
  <si>
    <t>Giao diện xác nhận đơn/QR cho cửa hàng</t>
  </si>
  <si>
    <t>Tính năng cấp 3</t>
  </si>
  <si>
    <t>Giao diện QR và hướng dẫn nhận hàng</t>
  </si>
  <si>
    <t>Đánh giá</t>
  </si>
  <si>
    <t>Mã gói</t>
  </si>
  <si>
    <t>API tạo và truy vấn đánh giá</t>
  </si>
  <si>
    <t>Mô tả tính năng</t>
  </si>
  <si>
    <t>Giao diện đánh giá sản phẩm/deal</t>
  </si>
  <si>
    <t>Vai trò người dùng</t>
  </si>
  <si>
    <t>Khiếu nại</t>
  </si>
  <si>
    <t>API tạo khiếu nại, xem trạng thái xử lý</t>
  </si>
  <si>
    <t>Tên gói</t>
  </si>
  <si>
    <t>Trường dữ liệu</t>
  </si>
  <si>
    <t>Giao diện xử lý khiếu nại cửa hàng</t>
  </si>
  <si>
    <t>Đối tượng sử dụng</t>
  </si>
  <si>
    <t>Business Rules</t>
  </si>
  <si>
    <t>Giao diện gửi khiếu nại, theo dõi trạng thái</t>
  </si>
  <si>
    <t>Giá và đơn vị tiền tệ</t>
  </si>
  <si>
    <t>Điều kiện / Validation</t>
  </si>
  <si>
    <t>Thông báo</t>
  </si>
  <si>
    <t>API danh sách thông báo, đánh dấu đã đọc</t>
  </si>
  <si>
    <t>Chu kỳ thanh toán</t>
  </si>
  <si>
    <t>Kết quả</t>
  </si>
  <si>
    <t>Giao diện thông báo cửa hàng</t>
  </si>
  <si>
    <t>Thời hạn hiệu lực</t>
  </si>
  <si>
    <t>Trạng Thái BE</t>
  </si>
  <si>
    <t>Trạng thái kinh doanh</t>
  </si>
  <si>
    <t>Giao diện thông báo khách hàng</t>
  </si>
  <si>
    <t>Quyền lợi cốt lõi</t>
  </si>
  <si>
    <t>Trạng thái test</t>
  </si>
  <si>
    <t>Báo cáo</t>
  </si>
  <si>
    <t>Giới hạn sử dụng quan trọng</t>
  </si>
  <si>
    <t>API tổng hợp doanh thu, đơn hàng, số liệu</t>
  </si>
  <si>
    <t>Trạng Thái Web</t>
  </si>
  <si>
    <t>Quy tắc nâng cấp, hạ cấp, gia hạn, hết hạn, hủy</t>
  </si>
  <si>
    <t>Dashboard, biểu đồ và bộ lọc báo cáo</t>
  </si>
  <si>
    <t>Trạng thái App</t>
  </si>
  <si>
    <t>Thống kê cá nhân</t>
  </si>
  <si>
    <t>API thống kê tác động cá nhân nếu thuộc R1</t>
  </si>
  <si>
    <t>GOI-CB</t>
  </si>
  <si>
    <t>Giao diện thống kê tác động cá nhân</t>
  </si>
  <si>
    <t>Gói dịch vụ</t>
  </si>
  <si>
    <t>API gói dịch vụ và quyền sử dụng tính năng</t>
  </si>
  <si>
    <t>Cơ bản</t>
  </si>
  <si>
    <t>Tài khoản và cửa hàng</t>
  </si>
  <si>
    <t>Tài khoản và hồ sơ</t>
  </si>
  <si>
    <t>Giao diện gói dịch vụ cửa hàng</t>
  </si>
  <si>
    <t>Chủ cửa hàng</t>
  </si>
  <si>
    <t>AI/dự báo</t>
  </si>
  <si>
    <t>Đăng ký</t>
  </si>
  <si>
    <t>API AI, dự báo hoặc định giá theo đặc tả</t>
  </si>
  <si>
    <t>0 VND</t>
  </si>
  <si>
    <t>R2-001 - Đăng ký tài khoản và cửa hàng</t>
  </si>
  <si>
    <t>Không có</t>
  </si>
  <si>
    <t>R1-001 - Đăng ký tài khoản khách hàng</t>
  </si>
  <si>
    <t>Giao diện AI hỗ trợ cửa hàng</t>
  </si>
  <si>
    <t>Chủ tiệm đăng ký trên web bằng email, mật khẩu và thông tin cửa hàng; hệ thống tạo user vai Chủ và một cửa hàng, gửi email xác minh. Mỗi tài khoản Chủ quản lý một cửa hàng trong MVP.</t>
  </si>
  <si>
    <t>Khách mới nhập email hoặc số điện thoại, họ tên, mật khẩu và đồng ý điều khoản trên app. Server tạo user vai khách, gửi mã xác minh OTP/email, chưa cho đặt hàng đến khi xác minh.</t>
  </si>
  <si>
    <t>Không giới hạn thời gian</t>
  </si>
  <si>
    <t>Tích hợp</t>
  </si>
  <si>
    <t>Kết nối Web với API, xử lý loading/lỗi</t>
  </si>
  <si>
    <t>Kết nối App với API, xử lý loading/lỗi</t>
  </si>
  <si>
    <t>Đang kinh doanh</t>
  </si>
  <si>
    <t>Kiểm thử</t>
  </si>
  <si>
    <t>Kiểm thử API, dữ liệu, phân quyền và nghiệp vụ</t>
  </si>
  <si>
    <t>Khách hàng (app Android)</t>
  </si>
  <si>
    <t>Đăng suất, tồn kho trong ngày, QR nhận hàng, đơn hàng, khiếu nại, đánh giá, đối soát tuần, báo cáo hao hụt 7 ngày gần nhất.</t>
  </si>
  <si>
    <t>Chủ cửa hàng (web)</t>
  </si>
  <si>
    <t>Kiểm thử giao diện Web và responsive</t>
  </si>
  <si>
    <t>Họ tên (text, bắt buộc, 2-60 ký tự)
Email hoặc SĐT (text, bắt buộc, một trong hai, duy nhất)
Mật khẩu (text, bắt buộc, từ 8 ký tự gồm chữ và số)
Đồng ý điều khoản (boolean, bắt buộc = true)</t>
  </si>
  <si>
    <t xml:space="preserve">Thảo </t>
  </si>
  <si>
    <t>Họ tên chủ (text, bắt buộc)
Email (duy nhất, bắt buộc)
Mật khẩu (từ 8 ký tự gồm chữ và số)
Tên cửa hàng (text, 2-80 ký tự)
Địa chỉ (text, bắt buộc, geocode ra tọa độ)
SĐT cửa hàng (định dạng VN)
Loại hình (Tiệm bánh/Cà phê-bánh)
Đồng ý điều khoản và trách nhiệm an toàn thực phẩm (bắt buộc)</t>
  </si>
  <si>
    <t>Tối đa 20 suất mở mỗi ngày; nhập CSV 100 dòng/lần; AI đọc ảnh 20 lần/tháng; AI hỏi đáp 10 lượt/tháng; AI soạn nội dung 10 lượt/tháng; 1 nhân viên; 2 ưu đãi đang chạy; 4 chiến dịch/tháng; xuất báo cáo 3 lần/tháng; xuất đơn 5 lần/tháng. Không có dự báo, định giá động, phân nhóm khách, mô phỏng, phân tích và đề xuất bằng AI.</t>
  </si>
  <si>
    <t>Kiểm thử giao diện App và tương thích màn hình</t>
  </si>
  <si>
    <t>1. Vai mặc định là Khách, không cho tự chọn vai.
2. Email/SĐT duy nhất toàn hệ thống, không phân biệt hoa thường.
3. Mật khẩu lưu dạng băm, không lưu bản rõ.
4. Tài khoản chưa xác minh không được đặt đơn.</t>
  </si>
  <si>
    <t>1. Cửa hàng chỉ hoạt động sau khi xác minh email.
2. Địa chỉ phải geocode được để hiện trên bản đồ.
3. Chủ tự chịu trách nhiệm chất lượng và hạn dùng hàng đăng bán.
4. Cửa hàng mới mặc định gói Cơ bản kèm 1 tháng dùng thử Pro.</t>
  </si>
  <si>
    <t>Là gói mặc định khi đăng ký. Nâng lên Pro có hiệu lực ngay. Không hết hạn. Hoa hồng 10% đơn Cứu Món (giả định, tham số cấu hình) áp dụng ở mọi gói.</t>
  </si>
  <si>
    <t>Nghiệm thu</t>
  </si>
  <si>
    <t>1. Email trùng: báo đã dùng.
2. Địa chỉ không geocode được: yêu cầu sửa/ghim vị trí tay.
3. Chưa đồng ý điều khoản: không tạo.
4. Rate limit 5 lần/giờ/IP.</t>
  </si>
  <si>
    <t>1. Thiếu trường bắt buộc: báo lỗi từng trường.
2. Sai định dạng email/SĐT: báo lỗi định dạng.
3. Email/SĐT đã tồn tại: báo đã được dùng, gợi ý đăng nhập.
4. Giới hạn 5 lần đăng ký/giờ/thiết bị (rate limit).</t>
  </si>
  <si>
    <t>Kiểm thử luồng tạo deal → đặt hàng → thanh toán → nhận hàng</t>
  </si>
  <si>
    <t>Sẵn sàng</t>
  </si>
  <si>
    <t>Tạo user và cửa hàng trạng thái Chờ xác minh; sau xác minh chuyển Hoạt động, bắt đầu dùng thử Pro.</t>
  </si>
  <si>
    <t>GOI-DT</t>
  </si>
  <si>
    <t>Tạo user trạng thái Chờ xác minh; gửi OTP; sau xác minh chuyển Hoạt động và vào màn hình deal. Thất bại: không tạo user, hiển thị lỗi.</t>
  </si>
  <si>
    <t>Pro dùng thử</t>
  </si>
  <si>
    <t>Chủ cửa hàng mới</t>
  </si>
  <si>
    <t/>
  </si>
  <si>
    <t>1 tháng kể từ khi xác minh email</t>
  </si>
  <si>
    <t>Toàn bộ quyền lợi gói Pro.</t>
  </si>
  <si>
    <t>Mỗi cửa hàng dùng thử một lần. Hạn mức như gói Pro.</t>
  </si>
  <si>
    <t>Tự bắt đầu khi cửa hàng được kích hoạt. Hết hạn thì tự về Cơ bản. Chủ có thể nâng cấp lên Pro trước khi hết hạn; thời gian dùng thử còn lại không cộng dồn vào kỳ trả phí.</t>
  </si>
  <si>
    <t>GOI-PRO</t>
  </si>
  <si>
    <t>Phiên đăng nhập</t>
  </si>
  <si>
    <t>Pro</t>
  </si>
  <si>
    <t>R2-002 - Đăng nhập</t>
  </si>
  <si>
    <t>Chủ đăng nhập web bằng email và mật khẩu; server cấp JWT.</t>
  </si>
  <si>
    <t>300.000 VND/tháng</t>
  </si>
  <si>
    <t>Theo tháng, trả trước</t>
  </si>
  <si>
    <t>Email, mật khẩu</t>
  </si>
  <si>
    <t>R1-002 - Xác minh tài khoản bằng OTP</t>
  </si>
  <si>
    <t>1. Chỉ vai Chủ vào được web quản trị; vai Khách bị từ chối.
2. Sai 5 lần khóa 15 phút.
3. Chỉ truy cập dữ liệu của cửa hàng mình.</t>
  </si>
  <si>
    <t>30 ngày kể từ ngày kích hoạt</t>
  </si>
  <si>
    <t>Khách nhập mã OTP 6 số nhận qua email/SMS. Hệ thống đối chiếu mã, hạn dùng và số lần thử.</t>
  </si>
  <si>
    <t>Sai thông tin: thông báo chung; chưa xác minh: yêu cầu xác minh email.</t>
  </si>
  <si>
    <t>Mọi quyền lợi Cơ bản và dự báo số lượng, định giá động, chế độ giá tự động, báo cáo hao hụt đầy đủ, hạn mức cao hơn.</t>
  </si>
  <si>
    <t>Mã OTP (text, bắt buộc, 6 chữ số)
Định danh (email/SĐT, lấy từ phiên đăng ký)</t>
  </si>
  <si>
    <t>Tối đa 100 suất mở mỗi ngày; nhập CSV 500 dòng/lần; AI đọc ảnh 300 lần/tháng; AI hỏi đáp 300 lượt/tháng; AI soạn nội dung 200 lượt/tháng; 5 nhân viên; 10 ưu đãi đang chạy; 30 chiến dịch/tháng; xuất báo cáo 30 lần/tháng; xuất đơn 60 lần/tháng.</t>
  </si>
  <si>
    <t>Vào bảng điều khiển; thất bại ở lại đăng nhập.</t>
  </si>
  <si>
    <t>1. OTP hết hạn sau 5 phút, dùng một lần.
2. Sai quá 5 lần thì khóa xác minh 15 phút.
3. Cho gửi lại OTP tối đa 3 lần/giờ.</t>
  </si>
  <si>
    <t>Không tự động gia hạn trong MVP; nhắc trước 7 ngày và 1 ngày. Hạ cấp có hiệu lực cuối kỳ. Hết hạn thì về Cơ bản, dữ liệu dự báo và giá cũ chỉ xem. Hủy gói giữ quyền lợi đến hết kỳ đã trả.</t>
  </si>
  <si>
    <t>1. Mã sai/hết hạn: báo lỗi, giữ trạng thái chờ.
2. Vượt số lần thử: báo thời gian chờ còn lại.</t>
  </si>
  <si>
    <t>GOI-KH</t>
  </si>
  <si>
    <t>User chuyển trạng thái Hoạt động; phát hành access token và refresh token.</t>
  </si>
  <si>
    <t>Khách hàng</t>
  </si>
  <si>
    <t>R2-003 - Đăng xuất</t>
  </si>
  <si>
    <t>Chủ đăng xuất, thu hồi refresh token phiên hiện tại.</t>
  </si>
  <si>
    <t>Toàn bộ tính năng vai Khách; khách không trả phí app, chỉ trả tiền hàng.</t>
  </si>
  <si>
    <t>Không có hạn mức gói; áp dụng giới hạn vận hành (tối đa 5 suất mỗi đơn, 50 cửa hàng yêu thích; trợ lý AI 30 lượt/ngày, soạn khiếu nại 10 lượt/ngày).</t>
  </si>
  <si>
    <t>R1-003 - Đăng nhập</t>
  </si>
  <si>
    <t>Refresh token (hệ thống)</t>
  </si>
  <si>
    <t>Khách đăng nhập bằng email/SĐT và mật khẩu; server cấp JWT access token ngắn hạn và refresh token.</t>
  </si>
  <si>
    <t>Không có nâng cấp, hạ cấp hay hết hạn.</t>
  </si>
  <si>
    <t>Không ảnh hưởng suất đang mở và đơn đang chờ nhận.</t>
  </si>
  <si>
    <t>Email/SĐT (bắt buộc)
Mật khẩu (bắt buộc)</t>
  </si>
  <si>
    <t>Mất mạng: xóa token cục bộ, token tự hết hạn phía server.</t>
  </si>
  <si>
    <t>PHẦN B - MA TRẬN GÓI DỊCH VỤ VÀ TÍNH NĂNG (quyền thực tế = quyền vai trò VÀ quyền gói VÀ tài khoản, cửa hàng ở trạng thái Hoạt động)</t>
  </si>
  <si>
    <t>1. Chỉ user vai Khách được đăng nhập trên app; tài khoản vai Chủ đăng nhập bị từ chối trên app.
2. Sai mật khẩu 5 lần liên tiếp khóa đăng nhập 15 phút.
3. Tài khoản đã khóa hoặc đã xóa không đăng nhập được.</t>
  </si>
  <si>
    <t>Về màn hình đăng nhập.</t>
  </si>
  <si>
    <t>Mã tính năng</t>
  </si>
  <si>
    <t>1. Sai thông tin: thông báo chung, không tiết lộ email có tồn tại hay không.
2. Chưa xác minh: chuyển sang màn hình OTP.</t>
  </si>
  <si>
    <t>Trả về token; lưu phiên; mở màn hình danh sách deal. Thất bại: ở lại màn hình đăng nhập.</t>
  </si>
  <si>
    <t>Tên tính năng</t>
  </si>
  <si>
    <t>Vai trò được phép</t>
  </si>
  <si>
    <t>Gói áp dụng</t>
  </si>
  <si>
    <t>Quyền sử dụng</t>
  </si>
  <si>
    <t>Hạn mức</t>
  </si>
  <si>
    <t>Đơn vị tính hạn mức</t>
  </si>
  <si>
    <t>R2-004 - Đổi mật khẩu và đặt lại mật khẩu</t>
  </si>
  <si>
    <t>Chu kỳ đặt lại hạn mức</t>
  </si>
  <si>
    <t>Chủ đổi mật khẩu bằng mật khẩu hiện tại hoặc đặt lại qua email; thu hồi phiên khác.</t>
  </si>
  <si>
    <t>Điều kiện mở khóa hoặc nâng cấp</t>
  </si>
  <si>
    <t>Xử lý khi hết hạn mức</t>
  </si>
  <si>
    <t>R1-004 - Đăng xuất</t>
  </si>
  <si>
    <t>Khách chọn đăng xuất; app xóa token cục bộ và gọi server thu hồi refresh token của thiết bị hiện tại, hủy đăng ký FCM token của thiết bị đó.</t>
  </si>
  <si>
    <t>Xử lý khi gói hết hạn hoặc bị hủy</t>
  </si>
  <si>
    <t>Mật khẩu hiện tại, mật khẩu mới; hoặc email và liên kết đặt lại (hạn 30 phút)</t>
  </si>
  <si>
    <t>R1-001</t>
  </si>
  <si>
    <t>1. Liên kết đặt lại dùng một lần.
2. Thu hồi mọi phiên khác sau khi đổi.</t>
  </si>
  <si>
    <t>Đăng ký tài khoản khách hàng</t>
  </si>
  <si>
    <t>Refresh token (hệ thống)
FCM token (hệ thống)</t>
  </si>
  <si>
    <t>1. Chỉ thu hồi phiên của thiết bị hiện tại.
2. Đơn đang hoạt động và QR không bị ảnh hưởng.</t>
  </si>
  <si>
    <t>Sai mật khẩu cũ, mật khẩu yếu, liên kết hết hạn: báo lỗi.</t>
  </si>
  <si>
    <t>Mất mạng: app vẫn xóa token cục bộ, server tự thu hồi khi refresh token hết hạn.</t>
  </si>
  <si>
    <t>Mật khẩu mới có hiệu lực; gửi email thông báo.</t>
  </si>
  <si>
    <t>Về màn hình đăng nhập; thiết bị ngừng nhận thông báo đẩy.</t>
  </si>
  <si>
    <t>Có</t>
  </si>
  <si>
    <t>Không giới hạn riêng</t>
  </si>
  <si>
    <t>Không cần (khách không có gói)</t>
  </si>
  <si>
    <t>Không áp dụng</t>
  </si>
  <si>
    <t>Hồ sơ cửa hàng</t>
  </si>
  <si>
    <t>R2-005 - Xem hồ sơ cửa hàng</t>
  </si>
  <si>
    <t>R1-002</t>
  </si>
  <si>
    <t>Chủ xem thông tin cửa hàng, trạng thái hoạt động, gói hiện tại và hạn gói.</t>
  </si>
  <si>
    <t>Xác minh tài khoản bằng OTP</t>
  </si>
  <si>
    <t>Hồ sơ cá nhân</t>
  </si>
  <si>
    <t>R1-005 - Xem hồ sơ cá nhân</t>
  </si>
  <si>
    <t>Khách xem họ tên, email/SĐT, ảnh đại diện, ngày tham gia, số lần không đến nhận trong 30 ngày gần nhất và trạng thái khóa đặt nếu có.</t>
  </si>
  <si>
    <t>Hiển thị: tên, địa chỉ, tọa độ, SĐT, giờ mở cửa, logo, trạng thái, gói, ngày hết hạn gói</t>
  </si>
  <si>
    <t>Chỉ xem cửa hàng của mình.</t>
  </si>
  <si>
    <t>Hiển thị: họ tên, email/SĐT (che một phần), ảnh, ngày tham gia, số lần không đến nhận 30 ngày, ngày hết khóa đặt</t>
  </si>
  <si>
    <t>Không có.</t>
  </si>
  <si>
    <t>Khách chỉ xem được hồ sơ của chính mình.</t>
  </si>
  <si>
    <t>Hiển thị hồ sơ.</t>
  </si>
  <si>
    <t>Không thấy dữ liệu của người khác; token hết hạn thì tự làm mới hoặc yêu cầu đăng nhập lại.</t>
  </si>
  <si>
    <t>Chưa làm</t>
  </si>
  <si>
    <t>R1-003</t>
  </si>
  <si>
    <t>Đăng nhập</t>
  </si>
  <si>
    <t>R2-006 - Chỉnh sửa hồ sơ cửa hàng</t>
  </si>
  <si>
    <t>Chủ sửa tên, địa chỉ, SĐT, giờ mở cửa, logo. Đổi địa chỉ geocode lại tọa độ.</t>
  </si>
  <si>
    <t>R1-006 - Chỉnh sửa hồ sơ cá nhân</t>
  </si>
  <si>
    <t>R1-004</t>
  </si>
  <si>
    <t>Đăng xuất</t>
  </si>
  <si>
    <t>Khách đổi họ tên và ảnh đại diện. Đổi email/SĐT phải xác minh lại bằng OTP gửi tới định danh mới.</t>
  </si>
  <si>
    <t>Tên (2-80 ký tự)
Địa chỉ (geocode)
SĐT
Giờ mở/đóng cửa theo ngày trong tuần (HH:mm, đóng sau mở)
Logo (JPG/PNG tối đa 2 MB)</t>
  </si>
  <si>
    <t>1. Đổi địa chỉ không ảnh hưởng đơn đã thanh toán; ghi nhật ký.
2. Suất đang mở giữ địa chỉ nhận lúc đặt đối với các đơn đã có.</t>
  </si>
  <si>
    <t>Họ tên (text, 2-60 ký tự)
Ảnh đại diện (JPG/PNG, tối đa 2 MB)
Email/SĐT mới (duy nhất, cần OTP)</t>
  </si>
  <si>
    <t>Giờ đóng trước giờ mở, địa chỉ không geocode được: báo lỗi.</t>
  </si>
  <si>
    <t>1. Định danh cũ giữ hiệu lực đến khi OTP định danh mới được xác nhận.
2. Ghi nhật ký thay đổi định danh.</t>
  </si>
  <si>
    <t>1. Ảnh quá lớn/sai định dạng: từ chối.
2. Định danh mới trùng: báo đã được dùng.</t>
  </si>
  <si>
    <t>Hồ sơ cập nhật; bản đồ khách cập nhật.</t>
  </si>
  <si>
    <t>Hồ sơ cập nhật; thông báo thành công. Thất bại: giữ nguyên dữ liệu cũ.</t>
  </si>
  <si>
    <t>R1-005</t>
  </si>
  <si>
    <t>Xem hồ sơ cá nhân</t>
  </si>
  <si>
    <t>Cài đặt vận hành</t>
  </si>
  <si>
    <t>R2-007 - Thiết lập khung giờ nhận mặc định và giá sàn</t>
  </si>
  <si>
    <t>Chủ đặt khung giờ nhận mặc định, tỉ lệ giá sàn trên giá gốc và mức giảm tối đa để dùng khi tạo suất.</t>
  </si>
  <si>
    <t>Bảo mật tài khoản</t>
  </si>
  <si>
    <t>R1-006</t>
  </si>
  <si>
    <t>R1-007 - Đổi mật khẩu</t>
  </si>
  <si>
    <t>Chỉnh sửa hồ sơ cá nhân</t>
  </si>
  <si>
    <t>Khách nhập mật khẩu hiện tại và mật khẩu mới. Sau khi đổi, các phiên ở thiết bị khác bị thu hồi.</t>
  </si>
  <si>
    <t>Khung giờ nhận mặc định (giờ bắt đầu, giờ kết thúc, tối đa 3 giờ)
Giá sàn (% giá gốc, 10-100, mặc định 40)
Mức giảm tối đa (% từ 0-90, mặc định 60)</t>
  </si>
  <si>
    <t>Mật khẩu hiện tại (bắt buộc)
Mật khẩu mới (bắt buộc, từ 8 ký tự gồm chữ và số, khác mật khẩu cũ)</t>
  </si>
  <si>
    <t>1. Giá sàn mặc định bảo đảm không thấp hơn giá vốn chủ khai báo nếu có.
2. Khung nhận phải nằm trong giờ mở cửa.</t>
  </si>
  <si>
    <t>1. Phải đúng mật khẩu hiện tại.
2. Thu hồi toàn bộ refresh token khác sau khi đổi.</t>
  </si>
  <si>
    <t>Sai mật khẩu hiện tại hoặc mật khẩu mới trùng cũ: báo lỗi.</t>
  </si>
  <si>
    <t>Mật khẩu đổi; thông báo qua email/SĐT; phiên hiện tại giữ nguyên.</t>
  </si>
  <si>
    <t>Giá sàn lớn hơn giá bán mong muốn: cảnh báo; khung nhận ngoài giờ mở: từ chối.</t>
  </si>
  <si>
    <t>Thiết lập áp dụng cho suất mới.</t>
  </si>
  <si>
    <t>R1-007</t>
  </si>
  <si>
    <t>Đổi mật khẩu</t>
  </si>
  <si>
    <t>R1-008 - Đặt lại mật khẩu khi quên</t>
  </si>
  <si>
    <t>Khách yêu cầu OTP qua email/SĐT, nhập OTP và mật khẩu mới.</t>
  </si>
  <si>
    <t>R1-008</t>
  </si>
  <si>
    <t>Đặt lại mật khẩu khi quên</t>
  </si>
  <si>
    <t>Email/SĐT, OTP 6 số, mật khẩu mới</t>
  </si>
  <si>
    <t>R2-008 - Chọn chế độ định giá: duyệt tay hoặc tự động</t>
  </si>
  <si>
    <t>1. Phản hồi giống nhau dù định danh có tồn tại hay không.
2. OTP hết hạn 5 phút, dùng một lần.
3. Thu hồi mọi phiên sau khi đặt lại.</t>
  </si>
  <si>
    <t>OTP sai/hết hạn, mật khẩu yếu: báo lỗi từng trường; rate limit 3 yêu cầu/giờ.</t>
  </si>
  <si>
    <t>Chủ chọn để hệ thống chỉ đề xuất giá (duyệt tay) hoặc tự áp dụng giá đề xuất trong ràng buộc giá sàn.</t>
  </si>
  <si>
    <t>Mật khẩu mới có hiệu lực; yêu cầu đăng nhập lại.</t>
  </si>
  <si>
    <t>Chế độ (Duyệt tay/Tự động)</t>
  </si>
  <si>
    <t>1. Mặc định Duyệt tay.
2. Chế độ Tự động chỉ khả dụng ở gói Pro.
3. Tự động luôn tôn trọng giá sàn và mức giảm tối đa.</t>
  </si>
  <si>
    <t>R1-009</t>
  </si>
  <si>
    <t>Gói không phải Pro: không bật tự động.</t>
  </si>
  <si>
    <t>Cấp quyền vị trí và chọn bán kính tìm deal</t>
  </si>
  <si>
    <t>Chế độ lưu và áp dụng cho các suất đang mở.</t>
  </si>
  <si>
    <t>Trạng thái cửa hàng</t>
  </si>
  <si>
    <t>R1-010</t>
  </si>
  <si>
    <t>R2-009 - Tạm ngưng cửa hàng</t>
  </si>
  <si>
    <t>Bật tắt nhóm thông báo</t>
  </si>
  <si>
    <t>Chủ tạm ngưng nhận đơn khi nghỉ; suất đang mở bị đóng và ẩn khỏi bản đồ.</t>
  </si>
  <si>
    <t>Cài đặt</t>
  </si>
  <si>
    <t>R1-009 - Cấp quyền vị trí và chọn bán kính tìm deal</t>
  </si>
  <si>
    <t>Lý do (chọn/tùy chọn)
Thời điểm mở lại dự kiến (ngày, tùy chọn)</t>
  </si>
  <si>
    <t>Khách cho phép app lấy vị trí hoặc nhập địa chỉ thủ công; chọn bán kính tìm deal.</t>
  </si>
  <si>
    <t>1. Không tạm ngưng khi còn đơn Đã thanh toán chưa xử lý, trừ khi chủ chọn hủy và hoàn tiền các đơn đó.
2. Suất đóng thủ công không tạo hao hụt giả trong báo cáo.</t>
  </si>
  <si>
    <t>Còn đơn chưa xử lý: liệt kê đơn, yêu cầu chọn hướng xử lý.</t>
  </si>
  <si>
    <t>Cửa hàng chuyển Tạm ngưng; khách thấy cửa hàng không khả dụng.</t>
  </si>
  <si>
    <t>Quyền vị trí (hệ điều hành)
Bán kính (số km, mặc định 2, cho phép 0,5 đến 10)
Địa chỉ nhập tay (text, tùy chọn)</t>
  </si>
  <si>
    <t>1. Vị trí chính xác chỉ dùng để truy vấn, không lưu lịch sử vị trí.
2. Từ chối quyền vẫn dùng được bằng địa chỉ nhập tay.</t>
  </si>
  <si>
    <t>Bán kính ngoài khoảng cho phép thì tự đưa về giá trị biên.</t>
  </si>
  <si>
    <t>Danh sách và bản đồ deal tính theo vị trí/bán kính mới.</t>
  </si>
  <si>
    <t>R2-010 - Mở lại cửa hàng</t>
  </si>
  <si>
    <t>Chủ mở lại cửa hàng sau khi tạm ngưng.</t>
  </si>
  <si>
    <t>Không có trường nhập</t>
  </si>
  <si>
    <t>R1-011</t>
  </si>
  <si>
    <t>Yêu cầu xóa tài khoản</t>
  </si>
  <si>
    <t>Chỉ mở lại khi gói còn hiệu lực hoặc về gói Cơ bản.</t>
  </si>
  <si>
    <t>Cửa hàng chuyển Hoạt động; có thể tạo suất.</t>
  </si>
  <si>
    <t>R1-012</t>
  </si>
  <si>
    <t>Xem và quản lý đồng ý điều khoản và dữ liệu vị trí</t>
  </si>
  <si>
    <t>R2-011 - Xem gói và dùng thử Pro</t>
  </si>
  <si>
    <t>R1-010 - Bật tắt nhóm thông báo</t>
  </si>
  <si>
    <t>Chủ xem gói Cơ bản/Pro, quyền lợi, hạn dùng thử và mức phí giả thuyết.</t>
  </si>
  <si>
    <t>Khách bật/tắt riêng từng nhóm thông báo: deal mới ở gần, nhắc giờ nhận, trạng thái đơn, khiếu nại.</t>
  </si>
  <si>
    <t>Hiển thị: gói, quyền lợi, ngày bắt đầu/kết thúc dùng thử, phí tháng, hoa hồng</t>
  </si>
  <si>
    <t>Nhóm thông báo (boolean mỗi nhóm)</t>
  </si>
  <si>
    <t>Mỗi cửa hàng dùng thử Pro một lần.</t>
  </si>
  <si>
    <t>Hiển thị thông tin gói.</t>
  </si>
  <si>
    <t>Thông báo trạng thái đơn và nhắc giờ nhận của đơn đang hoạt động là thông báo giao dịch, không tắt được.</t>
  </si>
  <si>
    <t>Tắt nhóm bắt buộc: từ chối, giải thích lý do.</t>
  </si>
  <si>
    <t>R1-013</t>
  </si>
  <si>
    <t>Cài đặt lưu theo tài khoản và áp dụng ngay.</t>
  </si>
  <si>
    <t>Bật hoặc tắt xác thực hai bước</t>
  </si>
  <si>
    <t>R2-012 - Nâng cấp lên Pro hoặc hạ về Cơ bản</t>
  </si>
  <si>
    <t>Chủ đăng ký Pro (MVP: ghi nhận giả lập) hoặc hạ về Cơ bản khi hết kỳ.</t>
  </si>
  <si>
    <t>Gói chọn (Cơ bản/Pro)
Chu kỳ (tháng)</t>
  </si>
  <si>
    <t>1. Hạ gói có hiệu lực cuối kỳ; từ đó tắt dự báo, định giá động, chế độ tự động.
2. Dữ liệu cũ vẫn xem được.
3. Mức phí là tham số cấu hình, chưa có giá chính thức.</t>
  </si>
  <si>
    <t>Gói không đổi: báo không có thay đổi.</t>
  </si>
  <si>
    <t>Gói cập nhật; quyền tính năng đổi theo gói.</t>
  </si>
  <si>
    <t>R1-014</t>
  </si>
  <si>
    <t>Xóa tài khoản</t>
  </si>
  <si>
    <t>Xem và đăng xuất các thiết bị đăng nhập</t>
  </si>
  <si>
    <t>R1-011 - Yêu cầu xóa tài khoản</t>
  </si>
  <si>
    <t>Khách yêu cầu xóa tài khoản. Hệ thống ẩn danh hóa dữ liệu cá nhân nhưng giữ đơn hàng dưới dạng không định danh để đối soát.</t>
  </si>
  <si>
    <t>Mật khẩu xác nhận (bắt buộc)
Lý do (text, tùy chọn)</t>
  </si>
  <si>
    <t>1. Không xóa khi còn đơn Đã thanh toán chưa kết thúc hoặc khiếu nại đang mở.
2. Ẩn danh hóa: xóa họ tên, email/SĐT, ảnh, FCM token; giữ bản ghi đơn với mã khách đã băm.
3. Cấu hình thời gian chờ 7 ngày trước khi xóa có hiệu lực, trong thời gian đó đăng nhập lại sẽ hủy yêu cầu.</t>
  </si>
  <si>
    <t>Còn đơn hoạt động: từ chối, liệt kê đơn.</t>
  </si>
  <si>
    <t>R2-013 - Gia hạn gói Pro</t>
  </si>
  <si>
    <t>Chủ thanh toán gia hạn gói Pro trước hoặc sau ngày hết hạn; MVP thanh toán VietQR hoặc giả lập, không tự động gia hạn.</t>
  </si>
  <si>
    <t>Tài khoản chuyển Chờ xóa rồi Đã ẩn danh; không đăng nhập lại được.</t>
  </si>
  <si>
    <t>R1-015</t>
  </si>
  <si>
    <t>Chu kỳ (1 tháng)
Số tiền (theo cấu hình)
Mã giao dịch (hệ thống)</t>
  </si>
  <si>
    <t>1. Gia hạn trước hạn nối tiếp kỳ cũ; sau hạn bắt đầu từ lúc thanh toán.
2. Mỗi mã giao dịch chỉ ghi nhận một lần.
3. Thanh toán chưa xác định xử lý theo quy tắc vòng đời gói.</t>
  </si>
  <si>
    <t>Lưu địa điểm quen thuộc (nhà, nơi làm việc)</t>
  </si>
  <si>
    <t>Thanh toán lỗi: giữ nguyên gói, cho thử lại.</t>
  </si>
  <si>
    <t>Gói gia hạn; hóa đơn tạo; thông báo xác nhận.</t>
  </si>
  <si>
    <t>R1-016</t>
  </si>
  <si>
    <t>R2-014 - Hủy gói Pro</t>
  </si>
  <si>
    <t>Thiết lập hồ sơ ăn uống và dị ứng</t>
  </si>
  <si>
    <t>Chủ hủy gia hạn gói Pro; quyền lợi giữ đến hết kỳ đã trả.</t>
  </si>
  <si>
    <t>Lý do hủy (chọn)
Xác nhận</t>
  </si>
  <si>
    <t>Không hoàn phí phần còn lại; hết kỳ tự về Cơ bản; hủy trong dùng thử dừng ngay khi chủ yêu cầu.</t>
  </si>
  <si>
    <t>Gói đã hết hạn hoặc đã hủy: báo.</t>
  </si>
  <si>
    <t>Gói đánh dấu Sẽ hết hạn; chủ nhận thông báo ngày dừng quyền.</t>
  </si>
  <si>
    <t>Quyền riêng tư</t>
  </si>
  <si>
    <t>R1-012 - Xem và quản lý đồng ý điều khoản và dữ liệu vị trí</t>
  </si>
  <si>
    <t>Khách xem phiên bản điều khoản đã đồng ý, thời điểm đồng ý và bật/tắt quyền dùng vị trí. Thu hồi đồng ý vị trí thì app chuyển sang tìm deal bằng địa chỉ nhập tay.</t>
  </si>
  <si>
    <t>R1-017</t>
  </si>
  <si>
    <t>Quản lý đồng ý nhận ưu đãi và cá nhân hóa</t>
  </si>
  <si>
    <t>R2-015 - Xem hóa đơn và lịch sử thanh toán gói</t>
  </si>
  <si>
    <t>Chủ xem và tải hóa đơn các kỳ thanh toán gói.</t>
  </si>
  <si>
    <t>Hiển thị: phiên bản điều khoản, thời điểm đồng ý, trạng thái đồng ý vị trí
Cờ đồng ý vị trí (boolean)</t>
  </si>
  <si>
    <t>Hiển thị: kỳ, số tiền, trạng thái, mã giao dịch, ngày thanh toán</t>
  </si>
  <si>
    <t>Chỉ Chủ xem; hóa đơn bất biến.</t>
  </si>
  <si>
    <t>1. Hệ thống lưu thời điểm và phiên bản điều khoản mỗi lần đồng ý.
2. Vị trí chỉ dùng để truy vấn deal, không lưu lịch sử vị trí.
3. Điều khoản mới phát hành bắt buộc khách đồng ý lại trước khi đặt đơn mới.</t>
  </si>
  <si>
    <t>Chưa đồng ý điều khoản phiên bản hiện hành: chặn đặt đơn, hiện màn hình đồng ý.</t>
  </si>
  <si>
    <t>Danh sách hóa đơn.</t>
  </si>
  <si>
    <t>Cờ đồng ý cập nhật; có bản ghi lịch sử đồng ý.</t>
  </si>
  <si>
    <t>R1-018</t>
  </si>
  <si>
    <t>Xuất bản sao dữ liệu cá nhân</t>
  </si>
  <si>
    <t>R2-016 - Xem hạn mức sử dụng của gói</t>
  </si>
  <si>
    <t>Chủ xem mức đã dùng và còn lại của các hạn mức: suất mở, lượt AI, xuất báo cáo, nhập CSV, chiến dịch, nhân viên.</t>
  </si>
  <si>
    <t>Hiển thị: hạn mức, đã dùng, còn lại, chu kỳ đặt lại</t>
  </si>
  <si>
    <t>Số liệu tính từ nhật ký sử dụng; đặt lại theo chu kỳ của từng hạn mức.</t>
  </si>
  <si>
    <t>Bảng hạn mức.</t>
  </si>
  <si>
    <t>R1-013 - Bật hoặc tắt xác thực hai bước</t>
  </si>
  <si>
    <t>R1-019</t>
  </si>
  <si>
    <t>Hủy yêu cầu xóa tài khoản</t>
  </si>
  <si>
    <t>Khách bật xác thực hai bước bằng OTP gửi qua email/SMS mỗi khi đăng nhập trên thiết bị lạ.</t>
  </si>
  <si>
    <t>Danh mục món</t>
  </si>
  <si>
    <t>Danh sách và tra cứu</t>
  </si>
  <si>
    <t>R2-017 - Xem danh sách món</t>
  </si>
  <si>
    <t>Trạng thái 2FA (boolean)
Kênh nhận OTP (email/SĐT đã xác minh)
OTP 6 số</t>
  </si>
  <si>
    <t>Danh sách món của cửa hàng, mặc định ẩn món đã lưu trữ.</t>
  </si>
  <si>
    <t>1. Tắt 2FA yêu cầu nhập mật khẩu và OTP.
2. Thiết bị đã tin cậy được ghi nhớ 30 ngày.
3. Khóa OTP 15 phút sau 5 lần sai.</t>
  </si>
  <si>
    <t>Hiển thị: ảnh, tên, loại, giá gốc, hạn dùng chuẩn, trạng thái</t>
  </si>
  <si>
    <t>Chỉ món của cửa hàng mình.</t>
  </si>
  <si>
    <t>Danh sách món phân trang 20.</t>
  </si>
  <si>
    <t>Chưa có kênh xác minh: yêu cầu xác minh trước khi bật.</t>
  </si>
  <si>
    <t>2FA được bật/tắt; ghi nhật ký bảo mật; gửi thông báo cho khách.</t>
  </si>
  <si>
    <t>R1-020</t>
  </si>
  <si>
    <t>Xem danh sách deal gần</t>
  </si>
  <si>
    <t>R2-018 - Tìm kiếm, lọc và sắp xếp món</t>
  </si>
  <si>
    <t>Tìm theo tên; lọc theo loại, trạng thái; sắp theo tên hoặc ngày tạo.</t>
  </si>
  <si>
    <t>Từ khóa, loại, trạng thái (Đang dùng/Đã lưu trữ), tiêu chí sắp xếp</t>
  </si>
  <si>
    <t>Tìm không phân biệt dấu và hoa thường.</t>
  </si>
  <si>
    <t>Danh sách theo điều kiện.</t>
  </si>
  <si>
    <t>R1-021</t>
  </si>
  <si>
    <t>Xem bản đồ deal</t>
  </si>
  <si>
    <t>R1-014 - Xem và đăng xuất các thiết bị đăng nhập</t>
  </si>
  <si>
    <t>Khách xem danh sách thiết bị đang đăng nhập (tên thiết bị, thời điểm, vị trí gần đúng theo IP) và đăng xuất từ xa từng thiết bị.</t>
  </si>
  <si>
    <t>R2-019 - Xem chi tiết món</t>
  </si>
  <si>
    <t>Hiển thị: mã phiên, tên thiết bị, lần hoạt động cuối, địa chỉ IP rút gọn</t>
  </si>
  <si>
    <t>Xem đầy đủ thuộc tính món, lịch sử các suất đã tạo từ món và tổng đã bán.</t>
  </si>
  <si>
    <t>1. Đăng xuất từ xa thu hồi refresh token của phiên đó.
2. Không đăng xuất được phiên hiện tại bằng chức năng này.
3. Ghi nhật ký bảo mật.</t>
  </si>
  <si>
    <t>Phiên không tồn tại hoặc không thuộc khách: từ chối.</t>
  </si>
  <si>
    <t>Hiển thị: toàn bộ thuộc tính món, số suất đã tạo, tổng bán, tổng bỏ</t>
  </si>
  <si>
    <t>R1-022</t>
  </si>
  <si>
    <t>Tìm kiếm deal</t>
  </si>
  <si>
    <t>Phiên bị thu hồi; thiết bị đó phải đăng nhập lại.</t>
  </si>
  <si>
    <t>Món không tồn tại: báo không tìm thấy.</t>
  </si>
  <si>
    <t>Hiển thị chi tiết.</t>
  </si>
  <si>
    <t>R1-023</t>
  </si>
  <si>
    <t>Lọc deal</t>
  </si>
  <si>
    <t>Quản lý món</t>
  </si>
  <si>
    <t>R2-020 - Tạo món mới</t>
  </si>
  <si>
    <t>Chủ tạo món bằng cách nhập tay hoặc chụp ảnh để AI gợi ý rồi xác nhận.</t>
  </si>
  <si>
    <t>Tên món (2-80 ký tự, duy nhất trong cửa hàng)
Loại (Bánh mì/Bánh ngọt/Bánh kem/Đồ uống/Khác)
Giá gốc (số nguyên VND, 1.000-5.000.000, bội 500)
Hạn dùng chuẩn (số giờ, 1-168)
Trọng lượng ước tính một suất (gram, 10-5000, tùy chọn)
Thành phần và dị ứng (text 0-300)
Ảnh (JPG/PNG tối đa 5 MB)
Giá vốn (VND, tùy chọn)</t>
  </si>
  <si>
    <t>1. Tên không trùng trong cùng cửa hàng.
2. Giá bán sau này không thấp hơn giá sàn, và không thấp hơn giá vốn nếu đã khai.
3. Gợi ý AI chỉ điền sẵn, chủ phải xác nhận mới lưu.</t>
  </si>
  <si>
    <t>Thiếu trường bắt buộc, sai kiểu, tên trùng: báo từng lỗi.</t>
  </si>
  <si>
    <t>R1-024</t>
  </si>
  <si>
    <t>Món trạng thái Đang dùng; xuất hiện khi tạo suất.</t>
  </si>
  <si>
    <t>Sắp xếp deal</t>
  </si>
  <si>
    <t>R2-021 - Gợi ý thông tin món từ ảnh bằng AI</t>
  </si>
  <si>
    <t>R1-015 - Lưu địa điểm quen thuộc (nhà, nơi làm việc)</t>
  </si>
  <si>
    <t>Chủ chụp/tải ảnh; backend gọi Gemini trả về tên gợi ý, mô tả, ước tính dinh dưỡng. Kết quả điền vào biểu mẫu để chủ sửa.</t>
  </si>
  <si>
    <t>Khách lưu tối đa 5 địa điểm để tìm deal nhanh theo từng nơi, không cần bật vị trí liên tục.</t>
  </si>
  <si>
    <t>Ảnh món (JPG/PNG)
Kết quả AI: tên gợi ý, mô tả, dinh dưỡng ước tính (chỉ để tham khảo)</t>
  </si>
  <si>
    <t>1. AI không quyết định giá, tồn, hạn dùng.
2. Lỗi/timeout 10 giây: bỏ qua, chủ nhập tay.
3. Khóa API chỉ nằm ở server.
4. Dinh dưỡng gắn nhãn Ước tính.</t>
  </si>
  <si>
    <t>Ảnh không đọc được: báo lỗi và cho nhập tay.</t>
  </si>
  <si>
    <t>R1-025</t>
  </si>
  <si>
    <t>Tên nhãn (text 1-30)
Địa chỉ hoặc tọa độ (bắt buộc)
Bán kính riêng (km, tùy chọn)</t>
  </si>
  <si>
    <t>Biểu mẫu điền sẵn; hoặc nhập tay khi AI lỗi.</t>
  </si>
  <si>
    <t>Cuộn tải thêm (phân trang)</t>
  </si>
  <si>
    <t>1. Tối đa 5 địa điểm.
2. Địa điểm lưu là dữ liệu của khách, chỉ khách xem được.
3. Xóa địa điểm là xóa vật lý vì không phải dữ liệu giao dịch.</t>
  </si>
  <si>
    <t>Địa chỉ không xác định được vị trí: yêu cầu ghim bản đồ; vượt 5: từ chối.</t>
  </si>
  <si>
    <t>Địa điểm xuất hiện trong bộ chọn vị trí của màn hình deal.</t>
  </si>
  <si>
    <t>R2-022 - Chỉnh sửa món</t>
  </si>
  <si>
    <t>Chủ sửa thuộc tính món. Thay đổi giá gốc không đổi giá của suất đang mở.</t>
  </si>
  <si>
    <t>Các trường như khi tạo món</t>
  </si>
  <si>
    <t>1. Sửa ảnh hưởng suất tạo sau, không ảnh hưởng đơn đã chốt.
2. Ghi nhật ký thay đổi giá gốc.</t>
  </si>
  <si>
    <t>R1-026</t>
  </si>
  <si>
    <t>Tên trùng, giá sai bội số: báo lỗi; cập nhật đồng thời: báo bản ghi đã đổi (kiểm tra phiên bản).</t>
  </si>
  <si>
    <t>Món cập nhật.</t>
  </si>
  <si>
    <t>Xem chi tiết deal</t>
  </si>
  <si>
    <t>Hồ sơ ăn uống</t>
  </si>
  <si>
    <t>R1-016 - Thiết lập hồ sơ ăn uống và dị ứng</t>
  </si>
  <si>
    <t>Khách khai báo tùy chọn các nhóm dị ứng và món không ăn để app cảnh báo và ẩn deal chứa thành phần đó.</t>
  </si>
  <si>
    <t>Danh sách dị ứng (gluten, sữa, trứng, hạt, hải sản, khác)
Món không ăn (chọn nhiều)
Đồng ý lưu dữ liệu ăn uống (boolean, bắt buộc để lưu)</t>
  </si>
  <si>
    <t>R2-023 - Lưu trữ món</t>
  </si>
  <si>
    <t>1. Dữ liệu ăn uống là dữ liệu nhạy cảm: chỉ lưu khi khách đồng ý, xóa được bất kỳ lúc nào.
2. Hồ sơ chỉ dùng để cảnh báo, không dùng để khẳng định món an toàn.
3. Cảnh báo dựa trên thành phần cửa hàng khai báo; thiếu khai báo thì hiện Chưa có thông tin.</t>
  </si>
  <si>
    <t>R1-027</t>
  </si>
  <si>
    <t>Không đồng ý lưu: không lưu hồ sơ.</t>
  </si>
  <si>
    <t>Chủ lưu trữ món không bán nữa. Không xóa vật lý để giữ lịch sử.</t>
  </si>
  <si>
    <t>Xem chi tiết cửa hàng</t>
  </si>
  <si>
    <t>Deal có thành phần trùng bị gắn cảnh báo; có thể bật ẩn deal có cảnh báo.</t>
  </si>
  <si>
    <t>Mã món (hệ thống)</t>
  </si>
  <si>
    <t>1. Không lưu trữ khi món có suất đang mở.
2. Món lưu trữ không xuất hiện khi tạo suất.
3. Lịch sử bán và dự báo giữ nguyên.</t>
  </si>
  <si>
    <t>Tổng số mục đã kiểm tra</t>
  </si>
  <si>
    <t>Có suất đang mở: từ chối.</t>
  </si>
  <si>
    <t>Món chuyển Đã lưu trữ.</t>
  </si>
  <si>
    <t>Khớp hoàn toàn (Pass)</t>
  </si>
  <si>
    <t>R1-028</t>
  </si>
  <si>
    <t>Thêm cửa hàng yêu thích</t>
  </si>
  <si>
    <t>Thiếu sót nhỏ (Minor)</t>
  </si>
  <si>
    <t>R2-024 - Khôi phục món</t>
  </si>
  <si>
    <t>Chủ khôi phục món đã lưu trữ.</t>
  </si>
  <si>
    <t>Số lỗi bug cần sửa (Bug)</t>
  </si>
  <si>
    <t>Tên phải còn duy nhất; trùng thì yêu cầu đổi tên.</t>
  </si>
  <si>
    <t>Tên trùng: yêu cầu đổi tên.</t>
  </si>
  <si>
    <t>R1-017 - Quản lý đồng ý nhận ưu đãi và cá nhân hóa</t>
  </si>
  <si>
    <t>Món về Đang dùng.</t>
  </si>
  <si>
    <t>Khách bật/tắt riêng từng mục: nhận ưu đãi từ cửa hàng, cá nhân hóa đề xuất theo lịch sử, cho phép trợ lý AI ghi nhớ ngữ cảnh.</t>
  </si>
  <si>
    <t>R1-029</t>
  </si>
  <si>
    <t>Bỏ cửa hàng yêu thích</t>
  </si>
  <si>
    <t>Cờ đồng ý ưu đãi, cá nhân hóa, ghi nhớ ngữ cảnh AI (boolean mỗi mục)
Thời điểm đổi</t>
  </si>
  <si>
    <t>1. Mặc định tất cả tắt cho đến khi khách bật.
2. Tắt cá nhân hóa thì không dùng lịch sử để đề xuất.
3. Tắt ghi nhớ ngữ cảnh thì hội thoại AI không lưu sau phiên.
4. Lưu lịch sử thay đổi đồng ý.</t>
  </si>
  <si>
    <t>Nhập dữ liệu</t>
  </si>
  <si>
    <t>R2-025 - Nhập danh mục món từ CSV</t>
  </si>
  <si>
    <t>Tùy chọn có hiệu lực ngay; mọi tính năng liên quan tôn trọng cờ.</t>
  </si>
  <si>
    <t>Chủ tải tệp CSV danh sách món; hệ thống kiểm tra từng dòng và báo kết quả.</t>
  </si>
  <si>
    <t>Tệp CSV (tối đa 500 dòng, 2 MB): tên, loại, giá gốc, hạn dùng chuẩn, trọng lượng, thành phần</t>
  </si>
  <si>
    <t>1. Hợp lệ từng dòng; dòng lỗi bỏ qua và liệt kê.
2. Món trùng tên bỏ qua.
3. Có xem trước trước khi xác nhận nhập.</t>
  </si>
  <si>
    <t>Sai định dạng, quá dòng: từ chối cả tệp.</t>
  </si>
  <si>
    <t>Tạo các món hợp lệ; báo số dòng thành công/lỗi.</t>
  </si>
  <si>
    <t>R1-030</t>
  </si>
  <si>
    <t>Đăng ký nhận thông báo khi có deal quanh khu</t>
  </si>
  <si>
    <t>Suất và tồn kho trong ngày</t>
  </si>
  <si>
    <t>100% phạm vi kiểm chứng đợt 1</t>
  </si>
  <si>
    <t>Danh sách</t>
  </si>
  <si>
    <t>R2-026 - Xem danh sách suất hôm nay và các ngày</t>
  </si>
  <si>
    <t>Xem suất theo ngày kèm tồn còn, số đã giữ, đã bán, trạng thái.</t>
  </si>
  <si>
    <t>R1-018 - Xuất bản sao dữ liệu cá nhân</t>
  </si>
  <si>
    <t>Hiển thị: món, giá gốc, giá bán, tổng suất, đã bán, đang giữ, còn, khung nhận, trạng thái</t>
  </si>
  <si>
    <t>Chỉ suất của cửa hàng mình.</t>
  </si>
  <si>
    <t>Khách yêu cầu tải về tệp dữ liệu cá nhân (hồ sơ, đơn, đánh giá, khiếu nại, đồng ý).</t>
  </si>
  <si>
    <t>Danh sách suất theo ngày.</t>
  </si>
  <si>
    <t>R1-031</t>
  </si>
  <si>
    <t>Tạo cảnh báo deal theo điều kiện mong muốn</t>
  </si>
  <si>
    <t>Phạm vi dữ liệu (chọn)
Định dạng (JSON/CSV)
Liên kết tải (hệ thống, hết hạn 24 giờ)</t>
  </si>
  <si>
    <t>1. Chỉ dữ liệu của chính khách.
2. Yêu cầu xác thực lại bằng mật khẩu.
3. Tối đa 1 yêu cầu/ngày; xử lý bất đồng bộ; gửi thông báo khi sẵn sàng.</t>
  </si>
  <si>
    <t>R2-027 - Lọc và tìm suất</t>
  </si>
  <si>
    <t>Vượt giới hạn: từ chối kèm thời điểm được yêu cầu lại.</t>
  </si>
  <si>
    <t>Lọc theo ngày, trạng thái, món.</t>
  </si>
  <si>
    <t>Tệp tạo ra, liên kết hết hạn sau 24 giờ; ghi nhật ký.</t>
  </si>
  <si>
    <t>Ngày, trạng thái (Nháp/Đang mở/Hết suất/Đã đóng/Đã hủy), món</t>
  </si>
  <si>
    <t>Khoảng ngày tối đa 90 ngày.</t>
  </si>
  <si>
    <t>Yêu cầu tính năng</t>
  </si>
  <si>
    <t>Kết luận kiểm chứng</t>
  </si>
  <si>
    <t>R1-032</t>
  </si>
  <si>
    <t>Mức độ ưu tiên</t>
  </si>
  <si>
    <t>File mã nguồn liên quan</t>
  </si>
  <si>
    <t>Ghi chú kỹ thuật &amp; Điểm cần sửa</t>
  </si>
  <si>
    <t>Trạng thái xử lý Bug</t>
  </si>
  <si>
    <t>Xem, sửa và xóa cảnh báo deal</t>
  </si>
  <si>
    <t>Khớp</t>
  </si>
  <si>
    <t>Thấp</t>
  </si>
  <si>
    <t>auth.controller.ts, user.service.ts</t>
  </si>
  <si>
    <t>Logic băm mật khẩu Bcrypt, rate limit 5 req/h và tạo OTP kích hoạt đã triển khai chuẩn.</t>
  </si>
  <si>
    <t>Hoàn thành</t>
  </si>
  <si>
    <t>R1-019 - Hủy yêu cầu xóa tài khoản</t>
  </si>
  <si>
    <t>otp.service.ts, auth.service.ts</t>
  </si>
  <si>
    <t>Trong thời gian chờ 7 ngày, khách hủy yêu cầu xóa và khôi phục tài khoản.</t>
  </si>
  <si>
    <t>OTP 6 số hết hạn 5 phút, khóa sau 5 lần nhập sai, cấp JWT access/refresh token đúng spec.</t>
  </si>
  <si>
    <t>Mật khẩu xác nhận</t>
  </si>
  <si>
    <t>Đăng nhập hệ thống</t>
  </si>
  <si>
    <t>Thiếu sót nhỏ</t>
  </si>
  <si>
    <t>Trung bình</t>
  </si>
  <si>
    <t>Chỉ hủy được khi trạng thái Chờ xóa; sau khi ẩn danh hóa không khôi phục.</t>
  </si>
  <si>
    <t>auth.controller.ts, jwt.strategy.ts</t>
  </si>
  <si>
    <t>R1-033</t>
  </si>
  <si>
    <t>Quá thời gian chờ: từ chối.</t>
  </si>
  <si>
    <t>Thiếu logic chặn tài khoản vai 'Chủ cửa hàng' đăng nhập trên endpoint app khách hàng.</t>
  </si>
  <si>
    <t>Lưu bộ lọc tìm kiếm thường dùng</t>
  </si>
  <si>
    <t>Tài khoản về Hoạt động; thông báo xác nhận.</t>
  </si>
  <si>
    <t>Đăng xuất và thu hồi phiên</t>
  </si>
  <si>
    <t>auth.service.ts, redis.token.service.ts</t>
  </si>
  <si>
    <t>Hủy FCM token thiết bị hiện tại và blacklist refresh token vào Redis hoàn tất.</t>
  </si>
  <si>
    <t>customer.controller.ts, user.service.ts</t>
  </si>
  <si>
    <t>Trả về đủ họ tên, SĐT che một phần, số lần bỏ bom hàng trong 30 ngày.</t>
  </si>
  <si>
    <t>Chưa đúng (Bug)</t>
  </si>
  <si>
    <t>Cao</t>
  </si>
  <si>
    <t>customer.service.ts, upload.service.ts</t>
  </si>
  <si>
    <t>Khám phá deal</t>
  </si>
  <si>
    <t>Bug: Khi đổi SĐT/Email mới, chưa kích hoạt gửi OTP xác minh mà cập nhật trực tiếp vào DB.</t>
  </si>
  <si>
    <t>Danh sách deal</t>
  </si>
  <si>
    <t>R1-020 - Xem danh sách deal gần</t>
  </si>
  <si>
    <t>customer.service.ts, auth.service.ts</t>
  </si>
  <si>
    <t>App gửi vị trí và bán kính; server dùng PostGIS trả danh sách suất đang mở của các cửa hàng trong bán kính, sắp theo khoảng cách mặc định.</t>
  </si>
  <si>
    <t>Đã kiểm tra mật khẩu hiện tại và tự động thu hồi refresh token của các thiết bị khác.</t>
  </si>
  <si>
    <t>Hiển thị: ảnh món, tên món, tên cửa hàng, giá gốc, giá bán, % giảm, số suất còn, khung giờ nhận, khoảng cách</t>
  </si>
  <si>
    <t>auth.service.ts, mail.service.ts</t>
  </si>
  <si>
    <t>Chưa đồng nhất phản hồi (response time/message) khi email không tồn tại trong hệ thống.</t>
  </si>
  <si>
    <t>1. Chỉ hiện suất trạng thái Đang mở, còn tồn, chưa hết khung nhận, thuộc cửa hàng đang hoạt động.
2. Không hiện suất của cửa hàng bị tạm ngưng.
3. Số suất còn hiển thị là số có thể đặt (đã trừ suất đang giữ).</t>
  </si>
  <si>
    <t>1. Không có deal: hiện màn hình trống và gợi ý tăng bán kính/đăng ký nhận thông báo.
2. Không có vị trí: yêu cầu nhập địa chỉ.</t>
  </si>
  <si>
    <t>Cấp quyền vị trí &amp; bán kính</t>
  </si>
  <si>
    <t>Danh sách cập nhật theo thời gian; kéo để làm mới.</t>
  </si>
  <si>
    <t>location.dto.ts, deal.service.ts</t>
  </si>
  <si>
    <t>DTO chưa validate chặn bán kính &lt; 0.5km và &gt; 10km (cần thêm @Min/@Max).</t>
  </si>
  <si>
    <t>R1-034</t>
  </si>
  <si>
    <t>notification.service.ts</t>
  </si>
  <si>
    <t>Lưu đúng cấu hình boolean, chặn tắt thông báo trạng thái đơn hàng bắt buộc.</t>
  </si>
  <si>
    <t>Lưu deal để xem sau</t>
  </si>
  <si>
    <t>user.service.ts, cron.cleanup.ts</t>
  </si>
  <si>
    <t>Bug: Chưa kiểm tra điều kiện chặn xóa nếu khách còn đơn 'Đã thanh toán' chưa nhận hàng.</t>
  </si>
  <si>
    <t>Quản lý đồng ý điều khoản &amp; vị trí</t>
  </si>
  <si>
    <t>consent.entity.ts, consent.service.ts</t>
  </si>
  <si>
    <t>Lưu nhật ký phiên bản điều khoản kèm timestamp chuẩn xác.</t>
  </si>
  <si>
    <t>Bật/tắt xác thực 2 bước (2FA)</t>
  </si>
  <si>
    <t>R1-021 - Xem bản đồ deal</t>
  </si>
  <si>
    <t>twofactor.service.ts</t>
  </si>
  <si>
    <t>Chưa lưu thời hạn tin cậy thiết bị 30 ngày trong bảng user_devices.</t>
  </si>
  <si>
    <t>Hiển thị các cửa hàng có deal lên bản đồ (Maps Compose); chạm vào ghim để xem tóm tắt và mở chi tiết.</t>
  </si>
  <si>
    <t>Quản lý &amp; đăng xuất thiết bị</t>
  </si>
  <si>
    <t>Ngày sai thứ tự: báo lỗi.</t>
  </si>
  <si>
    <t>device.controller.ts, session.service.ts</t>
  </si>
  <si>
    <t>Hiển thị: vị trí cửa hàng, số deal, giá thấp nhất</t>
  </si>
  <si>
    <t>Liệt kê phiên theo IP rút gọn, cho phép revoke token từng phiên từ xa.</t>
  </si>
  <si>
    <t>Chỉ hiện cửa hàng trong bán kính có ít nhất một suất đang mở.</t>
  </si>
  <si>
    <t>Lưu địa điểm quen thuộc</t>
  </si>
  <si>
    <t>Không tải được bản đồ: quay lại chế độ danh sách.</t>
  </si>
  <si>
    <t>saved_location.service.ts</t>
  </si>
  <si>
    <t>Ghim cập nhật cùng dữ liệu danh sách.</t>
  </si>
  <si>
    <t>Giới hạn tối đa 5 địa điểm đang check mềm ở client, cần enforce ở Backend.</t>
  </si>
  <si>
    <t>R1-035</t>
  </si>
  <si>
    <t>Thiết lập hồ sơ ăn uống &amp; dị ứng</t>
  </si>
  <si>
    <t>dietary_profile.service.ts</t>
  </si>
  <si>
    <t>Lưu JSON danh sách dị ứng, có cờ đồng ý lưu dữ liệu nhạy cảm theo GDPR.</t>
  </si>
  <si>
    <t>Xem lịch sử deal đã xem gần đây</t>
  </si>
  <si>
    <t>Quản lý nhận ưu đãi &amp; cá nhân hóa</t>
  </si>
  <si>
    <t>user_preference.service.ts</t>
  </si>
  <si>
    <t>Mặc định tắt các cờ gợi ý và AI context memory, cập nhật tức thì.</t>
  </si>
  <si>
    <t>export.queue.ts, s3.service.ts</t>
  </si>
  <si>
    <t>Bug: Link tải bản sao dữ liệu (JSON/CSV) chưa set thời gian hết hạn sau 24h.</t>
  </si>
  <si>
    <t>Quản lý suất</t>
  </si>
  <si>
    <t>user.service.ts</t>
  </si>
  <si>
    <t>R2-028 - Tạo suất</t>
  </si>
  <si>
    <t>Cho phép khôi phục tài khoản trong 7 ngày chờ xóa, xác thực lại bằng mật khẩu.</t>
  </si>
  <si>
    <t>Chủ chọn món, số lượng, giá bán, khung nhận và hạn dùng; lưu nháp hoặc mở bán.</t>
  </si>
  <si>
    <t>Xem danh sách deal gần (PostGIS)</t>
  </si>
  <si>
    <t>deal.repository.ts, postgis.query.ts</t>
  </si>
  <si>
    <t>Truy vấn ST_DWithin với PostGIS hoạt động tốt, chỉ hiển thị deal Đang mở và còn tồn.</t>
  </si>
  <si>
    <t>map.controller.ts, deal.service.ts</t>
  </si>
  <si>
    <t>Trả về tọa độ kinh độ/vĩ độ, gom cụm deal chuẩn xác theo bán kính truy vấn.</t>
  </si>
  <si>
    <t>Món (bắt buộc)
Số lượng (1-500)
Giá bán (VND, bội 500, ≥ giá sàn, ≤ giá gốc)
Khung nhận (bắt đầu-kết thúc, trong hôm nay hoặc ngày mai, trong giờ mở cửa)
Hạn dùng (thời điểm, sau khung nhận)
Ghi chú (0-200)</t>
  </si>
  <si>
    <t>1. Giá bán không vượt giá gốc, không thấp hơn giá sàn.
2. Hạn dùng phải sau giờ kết thúc nhận.
3. Chỉ món Đang dùng.
4. Gói Cơ bản tối đa 20 suất mở/ngày (tham số).</t>
  </si>
  <si>
    <t>Vi phạm bất kỳ ràng buộc nào: báo lỗi từng trường.</t>
  </si>
  <si>
    <t>R1-022 - Tìm kiếm deal</t>
  </si>
  <si>
    <t>Suất ở Nháp hoặc Đang mở; suất mở hiện cho khách.</t>
  </si>
  <si>
    <t>Khách nhập từ khóa tên món hoặc tên cửa hàng.</t>
  </si>
  <si>
    <t>R1-036</t>
  </si>
  <si>
    <t>So sánh các deal cạnh nhau</t>
  </si>
  <si>
    <t>Tìm kiếm deal không dấu</t>
  </si>
  <si>
    <t>deal.service.ts, fulltext.sql</t>
  </si>
  <si>
    <t>Từ khóa (text, 1-50 ký tự)</t>
  </si>
  <si>
    <t>Cần thêm unaccent extension trong PostgreSQL để tìm kiếm không phân biệt dấu tiếng Việt.</t>
  </si>
  <si>
    <t>Tìm không phân biệt hoa thường và dấu tiếng Việt, trong phạm vi bán kính đã chọn.</t>
  </si>
  <si>
    <t>Từ khóa rỗng thì hiện lại toàn bộ; không có kết quả: báo rõ.</t>
  </si>
  <si>
    <t>Danh sách rút gọn theo từ khóa.</t>
  </si>
  <si>
    <t>R2-029 - Nhân bản suất của hôm qua</t>
  </si>
  <si>
    <t>Chủ chọn các suất hôm qua để tạo nhanh suất hôm nay với số lượng và giá gợi ý.</t>
  </si>
  <si>
    <t>R1-037</t>
  </si>
  <si>
    <t>Danh sách suất nguồn, số lượng, giá, khung nhận</t>
  </si>
  <si>
    <t>Dùng cùng ràng buộc của tạo suất; có thể dùng số lượng dự báo làm mặc định ở gói Pro.</t>
  </si>
  <si>
    <t>Chia sẻ deal qua liên kết</t>
  </si>
  <si>
    <t>Suất nguồn dùng món đã lưu trữ: bỏ qua và báo.</t>
  </si>
  <si>
    <t>Tạo các suất Nháp để chủ rà và mở bán.</t>
  </si>
  <si>
    <t>R1-023 - Lọc deal</t>
  </si>
  <si>
    <t>Lọc theo loại món, khoảng giá, mức giảm tối thiểu, khung giờ nhận.</t>
  </si>
  <si>
    <t>Loại món (chọn nhiều)
Giá tối đa (số)
% giảm tối thiểu (số 0-90)
Khung giờ nhận (chọn)</t>
  </si>
  <si>
    <t>R2-030 - Chỉnh sửa suất chưa bán hết</t>
  </si>
  <si>
    <t>Chủ sửa số lượng tổng, giá, khung nhận khi suất Nháp hoặc Đang mở.</t>
  </si>
  <si>
    <t>Bộ lọc kết hợp theo điều kiện AND.</t>
  </si>
  <si>
    <t>Số lượng, giá bán, khung nhận, ghi chú</t>
  </si>
  <si>
    <t>Giá trị ngoài khoảng: đưa về biên.</t>
  </si>
  <si>
    <t>1. Số lượng tổng không nhỏ hơn đã bán + đang giữ.
2. Đơn đã chốt giữ giá cũ.
3. Không rút ngắn khung nhận khi còn đơn Đã thanh toán chờ nhận trong khung đã bị rút.
4. Ghi nhật ký thay đổi giá.</t>
  </si>
  <si>
    <t>Cập nhật đồng thời: báo bản ghi đã đổi; sai ràng buộc: báo lỗi.</t>
  </si>
  <si>
    <t>Danh sách theo bộ lọc; hiện số bộ lọc đang bật.</t>
  </si>
  <si>
    <t>Suất cập nhật; khách thấy giá/số mới.</t>
  </si>
  <si>
    <t>R1-038</t>
  </si>
  <si>
    <t>Chỉ đường đến cửa hàng</t>
  </si>
  <si>
    <t>R1-024 - Sắp xếp deal</t>
  </si>
  <si>
    <t>Sắp theo khoảng cách (mặc định), giá thấp, mức giảm cao, sắp hết hạn nhận.</t>
  </si>
  <si>
    <t>R1-039</t>
  </si>
  <si>
    <t>Tiêu chí sắp xếp (chọn một)</t>
  </si>
  <si>
    <t>Xem deal tại một vị trí khác</t>
  </si>
  <si>
    <t>Nếu bằng nhau thì xếp theo khoảng cách rồi theo thời điểm tạo.</t>
  </si>
  <si>
    <t>Danh sách sắp xếp lại.</t>
  </si>
  <si>
    <t>R2-031 - Điều chỉnh tồn kho có lý do</t>
  </si>
  <si>
    <t>Chủ tăng/giảm số suất khi phát sinh thực tế (làm thêm, hỏng, bán tại quầy).</t>
  </si>
  <si>
    <t>R1-040</t>
  </si>
  <si>
    <t>Chọn số lượng và giữ suất</t>
  </si>
  <si>
    <t>Số điều chỉnh (+/-)
Lý do (Làm thêm/Hỏng/Bán tại quầy/Khác, bắt buộc)</t>
  </si>
  <si>
    <t>1. Kết quả không âm và không nhỏ hơn đã bán + đang giữ.
2. Mỗi điều chỉnh lưu một bản ghi lịch sử; không sửa tồn trực tiếp.
3. Điều chỉnh tính vào báo cáo hao hụt theo lý do.</t>
  </si>
  <si>
    <t>Vượt giới hạn: từ chối.</t>
  </si>
  <si>
    <t>Tồn thay đổi; có bản ghi điều chỉnh.</t>
  </si>
  <si>
    <t>R1-025 - Cuộn tải thêm (phân trang)</t>
  </si>
  <si>
    <t>Tải theo trang 20 deal khi cuộn đến cuối danh sách (cursor pagination).</t>
  </si>
  <si>
    <t>Trang/cursor (hệ thống)</t>
  </si>
  <si>
    <t>Cursor ổn định khi danh sách thay đổi, không lặp deal giữa các trang.</t>
  </si>
  <si>
    <t>R1-041</t>
  </si>
  <si>
    <t>Lỗi mạng: hiện nút thử lại, giữ danh sách đã tải.</t>
  </si>
  <si>
    <t>Thanh toán đơn bằng VietQR hoặc cổng giả lập</t>
  </si>
  <si>
    <t>Thêm 20 deal vào cuối danh sách.</t>
  </si>
  <si>
    <t>R2-032 - Đóng suất sớm</t>
  </si>
  <si>
    <t>Chủ đóng suất không bán thêm (hết nguyên liệu, đóng cửa).</t>
  </si>
  <si>
    <t>Lý do (chọn)</t>
  </si>
  <si>
    <t>Các đơn Đã thanh toán vẫn được giao; đơn Chờ thanh toán vẫn hết hạn bình thường; phần tồn còn lại tính là Hao hụt.</t>
  </si>
  <si>
    <t>R1-042</t>
  </si>
  <si>
    <t>Suất đã đóng: báo.</t>
  </si>
  <si>
    <t>Tự động nhả suất khi hết hạn giữ (hệ thống)</t>
  </si>
  <si>
    <t>Chi tiết deal</t>
  </si>
  <si>
    <t>R1-026 - Xem chi tiết deal</t>
  </si>
  <si>
    <t>Suất Đã đóng; biến mất khỏi danh sách khách.</t>
  </si>
  <si>
    <t>Hiển thị ảnh, mô tả, thành phần/dị ứng cửa hàng khai báo, hạn dùng, giá, số suất còn, khung giờ và địa chỉ nhận, đánh giá của cửa hàng.</t>
  </si>
  <si>
    <t>Hiển thị: ảnh, tên, mô tả, thành phần, hạn dùng, giá gốc, giá bán, tồn còn, khung giờ nhận, địa chỉ, điểm đánh giá</t>
  </si>
  <si>
    <t>1. Giá hiển thị là giá hiện hành, cập nhật khi cửa hàng đổi giá.
2. Deal hết suất hoặc hết giờ hiện trạng thái Đã hết, không cho đặt.</t>
  </si>
  <si>
    <t>Suất không tồn tại hoặc đã đóng: thông báo và quay lại danh sách.</t>
  </si>
  <si>
    <t>Hiển thị chi tiết và nút Đặt khi còn suất.</t>
  </si>
  <si>
    <t>R1-043</t>
  </si>
  <si>
    <t>Hủy đơn đã thanh toán</t>
  </si>
  <si>
    <t>R2-033 - Hủy suất và hoàn tiền các đơn</t>
  </si>
  <si>
    <t>Chủ hủy suất khi không thể giao; hệ thống hủy mọi đơn Đã thanh toán và hoàn tiền đủ.</t>
  </si>
  <si>
    <t>Lý do (chọn, bắt buộc)</t>
  </si>
  <si>
    <t>1. Hoàn 100% tiền khách, không tính hoa hồng.
2. Ghi nhận một lần hủy do cửa hàng; hủy quá 3 lần trong 30 ngày hiển thị cảnh báo uy tín.
3. Khách được thông báo.</t>
  </si>
  <si>
    <t>Suất đã đóng/đã hủy: báo.</t>
  </si>
  <si>
    <t>Suất Đã hủy; các đơn hoàn tiền; khách nhận thông báo.</t>
  </si>
  <si>
    <t>R1-027 - Xem chi tiết cửa hàng</t>
  </si>
  <si>
    <t>R1-044</t>
  </si>
  <si>
    <t>Xem tên, địa chỉ, giờ mở cửa, các deal đang mở và điểm đánh giá.</t>
  </si>
  <si>
    <t>Xem danh sách đơn của tôi</t>
  </si>
  <si>
    <t>Hiển thị: tên, địa chỉ, giờ mở cửa, deal đang mở, điểm đánh giá trung bình, số đánh giá</t>
  </si>
  <si>
    <t>Chỉ hiện cửa hàng đang hoạt động.</t>
  </si>
  <si>
    <t>Cửa hàng tạm ngưng: thông báo không khả dụng.</t>
  </si>
  <si>
    <t>Hiển thị trang cửa hàng.</t>
  </si>
  <si>
    <t>Tự động</t>
  </si>
  <si>
    <t>R2-034 - Tự động đóng suất hết khung nhận (hệ thống)</t>
  </si>
  <si>
    <t>Tác vụ định kỳ chuyển suất hết khung nhận sang Đã đóng và tính hao hụt = tổng - đã nhận - đã bán chờ.</t>
  </si>
  <si>
    <t>Mã suất, khung nhận (hệ thống)</t>
  </si>
  <si>
    <t>1. Chạy mỗi phút.
2. Hao hụt chốt một lần mỗi suất.
3. Dữ liệu sau chốt không sửa trừ khi có điều chỉnh có lý do.</t>
  </si>
  <si>
    <t>Lỗi: thử lại, cảnh báo nhật ký.</t>
  </si>
  <si>
    <t>Suất Đã đóng; số hao hụt vào báo cáo.</t>
  </si>
  <si>
    <t>Cửa hàng yêu thích</t>
  </si>
  <si>
    <t>R1-028 - Thêm cửa hàng yêu thích</t>
  </si>
  <si>
    <t>R1-045</t>
  </si>
  <si>
    <t>Khách đánh dấu cửa hàng để nhận thông báo khi cửa hàng đó có deal mới.</t>
  </si>
  <si>
    <t>Lọc và tìm đơn</t>
  </si>
  <si>
    <t>Mã cửa hàng (hệ thống)</t>
  </si>
  <si>
    <t>1. Mỗi khách tối đa 50 cửa hàng yêu thích.
2. Không thêm trùng.</t>
  </si>
  <si>
    <t>Vượt giới hạn hoặc đã thêm: báo lỗi nhẹ.</t>
  </si>
  <si>
    <t>Cửa hàng vào danh sách yêu thích.</t>
  </si>
  <si>
    <t>Lịch sử</t>
  </si>
  <si>
    <t>R2-035 - Xem lịch sử thay đổi của suất</t>
  </si>
  <si>
    <t>Xem ai đổi gì: giá, số lượng, trạng thái, điều chỉnh tồn.</t>
  </si>
  <si>
    <t>Hiển thị: thời điểm, người thực hiện, trường đổi, giá trị cũ/mới, lý do</t>
  </si>
  <si>
    <t>Chỉ đọc; không xóa.</t>
  </si>
  <si>
    <t>Hiển thị dòng thời gian.</t>
  </si>
  <si>
    <t>R1-046</t>
  </si>
  <si>
    <t>R1-029 - Bỏ cửa hàng yêu thích</t>
  </si>
  <si>
    <t>Xem chi tiết đơn</t>
  </si>
  <si>
    <t>Khách bỏ đánh dấu một cửa hàng.</t>
  </si>
  <si>
    <t>Dự báo số lượng (Pro)</t>
  </si>
  <si>
    <t>Xem dự báo</t>
  </si>
  <si>
    <t>Bỏ yêu thích dừng ngay thông báo deal mới của cửa hàng đó.</t>
  </si>
  <si>
    <t>R2-036 - Xem dự báo số lượng nên làm cho ngày mai</t>
  </si>
  <si>
    <t>Cửa hàng không còn trong danh sách: bỏ qua, báo thành công.</t>
  </si>
  <si>
    <t>Cửa hàng rời danh sách yêu thích.</t>
  </si>
  <si>
    <t>Hệ thống hiển thị số lượng khuyến nghị cho từng món, khoảng tin cậy và thời điểm tính (tối đa 22:00 mỗi ngày).</t>
  </si>
  <si>
    <t>Hiển thị: món, số lượng khuyến nghị, khoảng thấp-cao, độ tin cậy, thời điểm tính</t>
  </si>
  <si>
    <t>1. Chỉ gói Pro.
2. Mô hình: trung bình theo thứ trong tuần có hiệu chỉnh thời tiết, sự kiện; cần tối thiểu 14 ngày dữ liệu.
3. Thiếu dữ liệu: dùng số của hôm qua và ghi nhãn Chưa đủ dữ liệu.
4. Lõi chạy độc lập với Gemini.</t>
  </si>
  <si>
    <t>Gói Cơ bản: ẩn và gợi ý nâng cấp; thiếu dữ liệu: hiện cảnh báo.</t>
  </si>
  <si>
    <t>R1-047</t>
  </si>
  <si>
    <t>Danh sách khuyến nghị.</t>
  </si>
  <si>
    <t>Hoàn tiền tự động khi thanh toán đến muộn (hệ thống)</t>
  </si>
  <si>
    <t>Thông báo deal</t>
  </si>
  <si>
    <t>R1-030 - Đăng ký nhận thông báo khi có deal quanh khu</t>
  </si>
  <si>
    <t>R2-037 - Xem giải thích dự báo</t>
  </si>
  <si>
    <t>Xem lý do: các thành phần (trung bình thứ, hiệu chỉnh thời tiết/sự kiện) và dữ liệu ngày dùng.</t>
  </si>
  <si>
    <t>Khi khu vực chưa có deal, khách đăng ký để được báo khi có deal mới trong bán kính.</t>
  </si>
  <si>
    <t>Hiển thị: thành phần điểm, số ngày dữ liệu, câu giải thích sinh từ template</t>
  </si>
  <si>
    <t>Vị trí và bán kính (từ cài đặt)
Khung giờ nhận thông báo (tùy chọn)</t>
  </si>
  <si>
    <t>Mỗi quyết định lưu thành phần trong bảng decisions.</t>
  </si>
  <si>
    <t>1. Tối đa 3 thông báo deal mới mỗi ngày mỗi khách.
2. Không gửi trong khung 22:00-07:00 theo cấu hình.</t>
  </si>
  <si>
    <t>R1-048</t>
  </si>
  <si>
    <t>Hiển thị giải thích.</t>
  </si>
  <si>
    <t>Chưa cấp quyền thông báo: nhắc cấp quyền.</t>
  </si>
  <si>
    <t>Khách nhận push khi có deal phù hợp.</t>
  </si>
  <si>
    <t>Xem trạng thái khóa đặt và ngày hết khóa</t>
  </si>
  <si>
    <t>Dùng dự báo</t>
  </si>
  <si>
    <t>R2-038 - Chấp nhận hoặc ghi đè số lượng khuyến nghị</t>
  </si>
  <si>
    <t>Chủ chấp nhận số khuyến nghị hoặc nhập số khác kèm lý do; số này làm mặc định khi tạo suất.</t>
  </si>
  <si>
    <t>Theo dõi deal</t>
  </si>
  <si>
    <t>R1-031 - Tạo cảnh báo deal theo điều kiện mong muốn</t>
  </si>
  <si>
    <t>Số lượng chọn (số nguyên 0-500)
Lý do ghi đè (tùy chọn)</t>
  </si>
  <si>
    <t>R1-049</t>
  </si>
  <si>
    <t>Khách tạo cảnh báo: loại món hoặc cửa hàng, giá tối đa, mức giảm tối thiểu, khung giờ; hệ thống báo khi có suất phù hợp.</t>
  </si>
  <si>
    <t>Ghi lại cả số khuyến nghị lẫn số chủ chọn để đo sai số.</t>
  </si>
  <si>
    <t>Chọn giờ hẹn nhận trong khung nhận</t>
  </si>
  <si>
    <t>Loại món/cửa hàng, giá tối đa, % giảm tối thiểu, khung giờ, bán kính
Trạng thái (Bật/Tắt)</t>
  </si>
  <si>
    <t>Số ngoài khoảng: báo lỗi.</t>
  </si>
  <si>
    <t>1. Tối đa 10 cảnh báo đang bật.
2. Tối đa 3 thông báo deal/ngày cho toàn bộ cảnh báo (gộp).
3. Không gửi thông báo trong khung 22:00-07:00.
4. Mỗi suất chỉ thông báo một lần cho mỗi cảnh báo.</t>
  </si>
  <si>
    <t>Điều kiện rỗng hoặc quá rộng (không có tiêu chí nào): từ chối.</t>
  </si>
  <si>
    <t>Kế hoạch làm của ngày mai lưu.</t>
  </si>
  <si>
    <t>Cảnh báo lưu; khách nhận push khi có suất khớp.</t>
  </si>
  <si>
    <t>R1-050</t>
  </si>
  <si>
    <t>Dữ liệu thực tế</t>
  </si>
  <si>
    <t>R2-039 - Nhập số thực tế cuối ngày</t>
  </si>
  <si>
    <t>Gửi ghi chú cho cửa hàng khi đặt</t>
  </si>
  <si>
    <t>Chủ nhập số làm ra, bán ngoài app, hết hàng sớm lúc nào; hệ thống tự cộng số bán qua app.</t>
  </si>
  <si>
    <t>R1-032 - Xem, sửa và xóa cảnh báo deal</t>
  </si>
  <si>
    <t>Số đã làm (số nguyên)
Bán tại quầy (số nguyên)
Giờ hết hàng sớm (HH:mm, tùy chọn)
Ngày (mặc định hôm nay)</t>
  </si>
  <si>
    <t>Khách xem danh sách cảnh báo, số lần đã kích hoạt, bật/tắt, sửa điều kiện hoặc xóa.</t>
  </si>
  <si>
    <t>1. Có thể nhập đến 48 giờ sau; sau đó khóa.
2. Sửa số liệu lưu lịch sử.
3. Dữ liệu này nuôi dự báo.</t>
  </si>
  <si>
    <t>Hiển thị: điều kiện, trạng thái, số lần kích hoạt, lần cuối
Có thể sửa: mọi điều kiện</t>
  </si>
  <si>
    <t>Số âm hoặc nhỏ hơn đã bán qua app: báo lỗi.</t>
  </si>
  <si>
    <t>Xóa vật lý được vì cảnh báo không phải dữ liệu giao dịch; lịch sử kích hoạt giữ ẩn danh cho thống kê.</t>
  </si>
  <si>
    <t>Dữ liệu ngày cập nhật; dự báo ngày kế tiếp tính lại.</t>
  </si>
  <si>
    <t>Cảnh báo không thuộc khách: từ chối.</t>
  </si>
  <si>
    <t>Danh sách cảnh báo cập nhật.</t>
  </si>
  <si>
    <t>R1-051</t>
  </si>
  <si>
    <t>Đặt lại món đã mua</t>
  </si>
  <si>
    <t>Tìm kiếm và lọc</t>
  </si>
  <si>
    <t>R1-033 - Lưu bộ lọc tìm kiếm thường dùng</t>
  </si>
  <si>
    <t>Khách đặt tên và lưu tổ hợp bộ lọc để áp dụng lại bằng một chạm.</t>
  </si>
  <si>
    <t>R2-040 - Khai báo sự kiện đặc biệt</t>
  </si>
  <si>
    <t>Chủ khai báo ngày lễ, khuyến mãi, sự kiện địa phương ảnh hưởng nhu cầu.</t>
  </si>
  <si>
    <t>Tên bộ lọc (1-30)
Giá trị bộ lọc</t>
  </si>
  <si>
    <t>R1-052</t>
  </si>
  <si>
    <t>Tối đa 10 bộ lọc đã lưu; tên không trùng.</t>
  </si>
  <si>
    <t>Ngày (ngày)
Loại (Lễ/Khuyến mãi/Sự kiện/Đóng cửa)
Ghi chú (0-100)
Mức ảnh hưởng ước tính (Thấp/Vừa/Cao)</t>
  </si>
  <si>
    <t>Tên trùng hoặc vượt giới hạn: báo lỗi.</t>
  </si>
  <si>
    <t>Tạo mã nhận hộ cho người khác</t>
  </si>
  <si>
    <t>Sự kiện được dùng làm hệ số hiệu chỉnh cấu hình; không chồng hai sự kiện cùng loại cùng ngày.</t>
  </si>
  <si>
    <t>Bộ lọc xuất hiện ở đầu màn hình tìm kiếm.</t>
  </si>
  <si>
    <t>Trùng ngày cùng loại: báo lỗi.</t>
  </si>
  <si>
    <t>Sự kiện lưu và dự báo ngày đó hiệu chỉnh.</t>
  </si>
  <si>
    <t>Lưu và so sánh</t>
  </si>
  <si>
    <t>R1-034 - Lưu deal để xem sau</t>
  </si>
  <si>
    <t>Khách lưu suất vào danh sách xem sau; suất hết hạn tự đánh dấu Đã hết.</t>
  </si>
  <si>
    <t>Mã suất
Thời điểm lưu</t>
  </si>
  <si>
    <t>1. Tối đa 50 suất lưu.
2. Suất hết hạn nhận bị đánh dấu và tự dọn sau 7 ngày.
3. Bấm đặt từ danh sách vẫn kiểm tra tồn như mọi đơn.</t>
  </si>
  <si>
    <t>R1-053</t>
  </si>
  <si>
    <t>Đo chất lượng</t>
  </si>
  <si>
    <t>Suất không còn: đánh dấu Đã hết.</t>
  </si>
  <si>
    <t>Áp dụng ưu đãi vào đơn khi đặt</t>
  </si>
  <si>
    <t>Suất nằm trong danh sách lưu.</t>
  </si>
  <si>
    <t>R2-041 - Xem độ chính xác dự báo</t>
  </si>
  <si>
    <t>So sánh dự báo với thực tế và với cách Nấu như hôm qua theo tuần/tháng.</t>
  </si>
  <si>
    <t>Hiển thị: sai số trung bình tuyệt đối, so với Nấu như hôm qua, theo món</t>
  </si>
  <si>
    <t>Chỉ tính ngày có đủ dữ liệu thực tế.</t>
  </si>
  <si>
    <t>Chưa đủ dữ liệu: hiện thông báo.</t>
  </si>
  <si>
    <t>Biểu đồ và bảng sai số.</t>
  </si>
  <si>
    <t>R1-035 - Xem lịch sử deal đã xem gần đây</t>
  </si>
  <si>
    <t>R1-054</t>
  </si>
  <si>
    <t>App hiển thị 20 deal khách đã xem gần nhất để quay lại nhanh.</t>
  </si>
  <si>
    <t>Xem và tải biên nhận của đơn</t>
  </si>
  <si>
    <t>R2-042 - Xem độ tin cậy dự báo và dự phòng khi dự báo kém</t>
  </si>
  <si>
    <t>Mỗi dự báo kèm độ tin cậy Thấp/Vừa/Cao. Khi thiếu dữ liệu hoặc sai số cao, hệ thống tự dùng số của hôm qua, gắn nhãn dự phòng và gợi ý chủ nhập tay.</t>
  </si>
  <si>
    <t>Hiển thị: độ tin cậy, số ngày dữ liệu, sai số trung bình 7 ngày, nhãn dự phòng</t>
  </si>
  <si>
    <t>1. Dưới 14 ngày dữ liệu: độ tin cậy Thấp.
2. Sai số trung bình 7 ngày vượt ngưỡng (tham số cấu hình): hiện cảnh báo.
3. Lõi hoạt động độc lập với Gemini.</t>
  </si>
  <si>
    <t>R1-055</t>
  </si>
  <si>
    <t>Không có dữ liệu hôm qua: để trống cho chủ nhập tay.</t>
  </si>
  <si>
    <t>Tiếp tục thanh toán đơn đang giữ</t>
  </si>
  <si>
    <t>Chủ biết khi nào nên tin dự báo; số dự phòng được ghi nhãn.</t>
  </si>
  <si>
    <t>Xu hướng</t>
  </si>
  <si>
    <t>R1-056</t>
  </si>
  <si>
    <t>R2-043 - Xem dự báo xu hướng nhu cầu cho tuần tới</t>
  </si>
  <si>
    <t>Kiểm tra lại trạng thái thanh toán chưa xác định</t>
  </si>
  <si>
    <t>Hệ thống tính xu hướng bán theo thứ cho 7 ngày tới bằng mô hình thống kê đơn giản (trung bình theo thứ có hiệu chỉnh xu hướng 4 tuần), kèm khoảng thấp-cao.</t>
  </si>
  <si>
    <t>Hiển thị: ngày, món, số lượng dự báo, khoảng thấp-cao, độ tin cậy</t>
  </si>
  <si>
    <t>1. Cần tối thiểu 28 ngày dữ liệu.
2. Mô hình xác định, không dùng mô hình ngôn ngữ.
3. Ngày nghỉ và sự kiện đã khai báo được dùng làm hiệu chỉnh.</t>
  </si>
  <si>
    <t>Dưới 28 ngày dữ liệu: ẩn dự báo tuần, vẫn dùng dự báo ngày mai.</t>
  </si>
  <si>
    <t>Bảng và biểu đồ dự báo 7 ngày.</t>
  </si>
  <si>
    <t>R1-057</t>
  </si>
  <si>
    <t>Hiển thị: deal, thời điểm xem, trạng thái còn/hết</t>
  </si>
  <si>
    <t>Xem mã QR nhận hàng</t>
  </si>
  <si>
    <t>1. Chỉ lưu khi khách bật cá nhân hóa.
2. Khách xóa được từng mục hoặc toàn bộ.
3. Giữ tối đa 30 ngày.</t>
  </si>
  <si>
    <t>Cá nhân hóa đang tắt: không có dữ liệu, hiện thông báo.</t>
  </si>
  <si>
    <t>Định giá động (Pro)</t>
  </si>
  <si>
    <t>Danh sách xem gần đây.</t>
  </si>
  <si>
    <t>Đề xuất giá</t>
  </si>
  <si>
    <t>R2-044 - Xem đề xuất giá giảm theo giờ</t>
  </si>
  <si>
    <t>Hệ thống đề xuất giá mới cho suất đang mở dựa trên giờ còn lại, tốc độ bán, hạn dùng, tồn còn.</t>
  </si>
  <si>
    <t>Hiển thị: suất, giá hiện tại, giá đề xuất, % giảm, giờ hiệu lực, dự kiến bán hết</t>
  </si>
  <si>
    <t>R1-058</t>
  </si>
  <si>
    <t>1. Giá đề xuất không thấp hơn giá sàn, không cao hơn giá hiện tại.
2. Tối đa 3 lần đổi giá trong một suất.
3. Giá làm tròn bội 500.
4. Lõi chạy khi Gemini lỗi.</t>
  </si>
  <si>
    <t>Nhận hàng (chủ quét QR)</t>
  </si>
  <si>
    <t>Không đủ dữ liệu: dùng lịch giảm cố định theo giờ do chủ đặt.</t>
  </si>
  <si>
    <t>Danh sách đề xuất chờ duyệt.</t>
  </si>
  <si>
    <t>R1-059</t>
  </si>
  <si>
    <t>Đơn quá hạn không đến nhận (hệ thống)</t>
  </si>
  <si>
    <t>R1-036 - So sánh các deal cạnh nhau</t>
  </si>
  <si>
    <t>Khách chọn 2 đến 3 deal để so sánh giá, mức giảm, khoảng cách, khung giờ nhận, thành phần, đánh giá cửa hàng.</t>
  </si>
  <si>
    <t>R2-045 - Xem giải thích đề xuất giá</t>
  </si>
  <si>
    <t>Danh sách mã suất (2-3)
Hiển thị: thuộc tính so sánh lấy từ dữ liệu hệ thống</t>
  </si>
  <si>
    <t>Hiển thị lý do bằng câu giải thích và thành phần điểm.</t>
  </si>
  <si>
    <t>1. Toàn bộ số liệu lấy từ hệ thống, không do AI tạo.
2. Suất hết trong lúc xem thì đánh dấu và loại khỏi bảng.</t>
  </si>
  <si>
    <t>Chọn dưới 2 hoặc trên 3 suất: từ chối.</t>
  </si>
  <si>
    <t>Hiển thị: giờ còn lại, tốc độ bán, tồn còn, hạn dùng, giá sàn, câu giải thích</t>
  </si>
  <si>
    <t>Bảng so sánh hiển thị.</t>
  </si>
  <si>
    <t>Lưu mọi đề xuất và thành phần vào bảng decisions.</t>
  </si>
  <si>
    <t>R1-060</t>
  </si>
  <si>
    <t>Báo cho cửa hàng là sắp đến</t>
  </si>
  <si>
    <t>R1-061</t>
  </si>
  <si>
    <t>Gửi khiếu nại chất lượng đơn</t>
  </si>
  <si>
    <t>Quyết định giá</t>
  </si>
  <si>
    <t>Chia sẻ</t>
  </si>
  <si>
    <t>R2-046 - Duyệt đề xuất giá</t>
  </si>
  <si>
    <t>Chủ duyệt đề xuất; giá suất đổi ngay và khách thấy giá mới.</t>
  </si>
  <si>
    <t>R1-037 - Chia sẻ deal qua liên kết</t>
  </si>
  <si>
    <t>Khách tạo liên kết mở thẳng chi tiết deal trong app hoặc trang web đơn giản; liên kết không chứa dữ liệu cá nhân.</t>
  </si>
  <si>
    <t>Mã đề xuất (hệ thống)</t>
  </si>
  <si>
    <t>Mã suất
Liên kết rút gọn (hệ thống)</t>
  </si>
  <si>
    <t>1. Đề xuất hết hiệu lực sau 15 phút.
2. Duyệt cập nhật giá nguyên tử và lưu lịch sử.
3. Đơn đã giữ/đã thanh toán giữ giá cũ.</t>
  </si>
  <si>
    <t>1. Liên kết hết hiệu lực khi suất hết hạn.
2. Không gắn thông tin người chia sẻ.</t>
  </si>
  <si>
    <t>Đề xuất hết hạn: yêu cầu tính lại.</t>
  </si>
  <si>
    <t>Suất hết: liên kết hiện thông báo Đã hết và deal tương tự gần đó.</t>
  </si>
  <si>
    <t>R1-062</t>
  </si>
  <si>
    <t>Giá suất đổi; có bản ghi quyết định.</t>
  </si>
  <si>
    <t>Xem trạng thái và phản hồi khiếu nại</t>
  </si>
  <si>
    <t>Liên kết sao chép hoặc chia sẻ qua ứng dụng khác.</t>
  </si>
  <si>
    <t>R1-063</t>
  </si>
  <si>
    <t>Rút khiếu nại</t>
  </si>
  <si>
    <t>Chi tiết cửa hàng</t>
  </si>
  <si>
    <t>R2-047 - Từ chối đề xuất hoặc đặt giá thủ công</t>
  </si>
  <si>
    <t>R1-038 - Chỉ đường đến cửa hàng</t>
  </si>
  <si>
    <t>Chủ từ chối đề xuất hoặc nhập giá khác.</t>
  </si>
  <si>
    <t>Khách mở ứng dụng bản đồ bên ngoài với địa chỉ nhận hàng để di chuyển.</t>
  </si>
  <si>
    <t>Tọa độ và địa chỉ cửa hàng (hệ thống)</t>
  </si>
  <si>
    <t>Giá thủ công (bội 500, ≥ giá sàn, ≤ giá hiện tại)
Lý do (tùy chọn)</t>
  </si>
  <si>
    <t>Chỉ truyền tọa độ cửa hàng, không truyền vị trí khách cho dịch vụ nào của nền tảng.</t>
  </si>
  <si>
    <t>Giá thủ công không được cao hơn giá gốc; ghi nhật ký.</t>
  </si>
  <si>
    <t>Không có ứng dụng bản đồ: hiện địa chỉ để sao chép.</t>
  </si>
  <si>
    <t>Giá ngoài khoảng: báo lỗi.</t>
  </si>
  <si>
    <t>R1-064</t>
  </si>
  <si>
    <t>Mở ứng dụng bản đồ.</t>
  </si>
  <si>
    <t>Gửi đánh giá cửa hàng</t>
  </si>
  <si>
    <t>Giá cập nhật hoặc giữ nguyên; đề xuất ghi Đã từ chối.</t>
  </si>
  <si>
    <t>R1-065</t>
  </si>
  <si>
    <t>R1-039 - Xem deal tại một vị trí khác</t>
  </si>
  <si>
    <t>Sửa đánh giá</t>
  </si>
  <si>
    <t>R2-048 - Xem lịch sử quyết định giá</t>
  </si>
  <si>
    <t>Khách chọn địa điểm đã lưu hoặc ghim vị trí tạm để xem deal ở nơi chưa đến.</t>
  </si>
  <si>
    <t>Xem các lần đổi giá, ai duyệt (chủ hoặc tự động), kết quả bán sau đổi.</t>
  </si>
  <si>
    <t>Địa điểm đã lưu hoặc tọa độ tạm
Bán kính</t>
  </si>
  <si>
    <t>Vị trí tạm không được lưu lại nếu khách không chọn Lưu địa điểm.</t>
  </si>
  <si>
    <t>Hiển thị: thời điểm, giá cũ/mới, nguồn quyết định, số bán sau 30 phút</t>
  </si>
  <si>
    <t>Tọa độ ngoài vùng hỗ trợ: báo chưa hỗ trợ khu vực.</t>
  </si>
  <si>
    <t>Danh sách deal tại vị trí chọn.</t>
  </si>
  <si>
    <t>Chỉ đọc.</t>
  </si>
  <si>
    <t>Bảng lịch sử.</t>
  </si>
  <si>
    <t>R1-066</t>
  </si>
  <si>
    <t>Ẩn đánh giá của tôi</t>
  </si>
  <si>
    <t>Đặt hàng và thanh toán</t>
  </si>
  <si>
    <t>Đơn hàng và nhận hàng</t>
  </si>
  <si>
    <t>Giữ suất</t>
  </si>
  <si>
    <t>R1-040 - Chọn số lượng và giữ suất</t>
  </si>
  <si>
    <t>R2-049 - Xem danh sách đơn của cửa hàng</t>
  </si>
  <si>
    <t>Khách chọn số lượng và nhấn Đặt. Server trừ tồn kho nguyên tử và tạo đơn Chờ thanh toán, giữ suất 10 phút.</t>
  </si>
  <si>
    <t>Xem đơn theo ngày và trạng thái; đơn hôm nay ở đầu.</t>
  </si>
  <si>
    <t>Mã suất (hệ thống)
Số lượng (số nguyên, bắt buộc, 1 đến min(5, tồn còn))
Khóa idempotency (hệ thống)</t>
  </si>
  <si>
    <t>1. Trừ tồn bằng một câu UPDATE có điều kiện còn_tồn &gt;= số_lượng trong giao dịch; không bán vượt tồn.
2. Một khách chỉ có một đơn Chờ thanh toán trên mỗi suất.
3. Khách đang bị khóa đặt không được giữ suất.
4. Giá chốt vào đơn tại thời điểm giữ suất.
5. Gửi lặp cùng khóa idempotency trả lại cùng một đơn.</t>
  </si>
  <si>
    <t>Hiển thị: mã đơn, tên khách (rút gọn), món, số lượng, tổng tiền, trạng thái, khung nhận</t>
  </si>
  <si>
    <t>R1-067</t>
  </si>
  <si>
    <t>Chỉ đơn của cửa hàng; che họ tên khách thành chữ cái đầu và SĐT không hiển thị.</t>
  </si>
  <si>
    <t>Xem lịch sử các khiếu nại</t>
  </si>
  <si>
    <t>1. Hết suất giữa chừng: báo Đã hết, không tạo đơn.
2. Số lượng vượt giới hạn: báo lỗi và số tối đa.
3. Khung nhận đã kết thúc: từ chối.
4. Tài khoản chưa xác minh: yêu cầu xác minh.</t>
  </si>
  <si>
    <t>Danh sách đơn.</t>
  </si>
  <si>
    <t>Tạo đơn Chờ thanh toán, đồng hồ đếm 10 phút; tồn kho giảm tương ứng. Thất bại: tồn giữ nguyên.</t>
  </si>
  <si>
    <t>R2-050 - Lọc, tìm và xuất đơn</t>
  </si>
  <si>
    <t>Lọc theo ngày, trạng thái, món; tìm theo mã đơn; xuất CSV.</t>
  </si>
  <si>
    <t>Ngày, trạng thái, món, mã đơn</t>
  </si>
  <si>
    <t>R1-068</t>
  </si>
  <si>
    <t>Bổ sung bằng chứng cho khiếu nại</t>
  </si>
  <si>
    <t>1. Xuất tối đa 12 tháng.
2. Tệp xuất không chứa dữ liệu cá nhân của khách.
3. Mỗi lần xuất ghi nhật ký.</t>
  </si>
  <si>
    <t>R1-041 - Thanh toán đơn bằng VietQR hoặc cổng giả lập</t>
  </si>
  <si>
    <t>Khoảng ngày quá lớn: từ chối.</t>
  </si>
  <si>
    <t>App hiển thị mã VietQR/số tiền hoặc cổng giả lập (MVP). Khi nhận xác nhận thanh toán, đơn chuyển Đã thanh toán và sinh QR nhận hàng.</t>
  </si>
  <si>
    <t>Danh sách hoặc tệp CSV.</t>
  </si>
  <si>
    <t>Mã đơn (hệ thống)
Số tiền = đơn giá chốt x số lượng (hệ thống)
Phương thức (VietQR/Giả lập)</t>
  </si>
  <si>
    <t>1. Chỉ thanh toán khi đơn Chờ thanh toán và còn trong 10 phút giữ.
2. Số tiền phải khớp chính xác.
3. Xác nhận thanh toán xử lý idempotent; thanh toán lặp không tạo hai lần.
4. Chỉ sinh QR sau khi Đã thanh toán.</t>
  </si>
  <si>
    <t>1. Hết thời gian giữ: đơn Hết hạn giữ, tồn trả lại; nếu tiền đã vào thì hoàn tiền tự động.
2. Số tiền sai: đưa vào đối soát thủ công.
3. Lỗi cổng: giữ đơn đến hết hạn, cho thử lại.</t>
  </si>
  <si>
    <t>Đơn Đã thanh toán; QR hiển thị; cửa hàng thấy đơn mới. Thất bại: đơn giữ nguyên đến hết hạn giữ.</t>
  </si>
  <si>
    <t>R1-069</t>
  </si>
  <si>
    <t>Báo cáo cửa hàng hoặc nội dung vi phạm</t>
  </si>
  <si>
    <t>R2-051 - Xem chi tiết đơn</t>
  </si>
  <si>
    <t>Xem trạng thái, mốc thời gian, hoa hồng, khiếu nại liên quan.</t>
  </si>
  <si>
    <t>Hiển thị: thuộc tính đơn, tiền sau hoa hồng, lịch sử trạng thái</t>
  </si>
  <si>
    <t>Chỉ đơn của cửa hàng mình.</t>
  </si>
  <si>
    <t>R1-042 - Tự động nhả suất khi hết hạn giữ (hệ thống)</t>
  </si>
  <si>
    <t>R1-070</t>
  </si>
  <si>
    <t>Tác vụ định kỳ (BullMQ) tìm đơn Chờ thanh toán quá 10 phút, chuyển Hết hạn giữ và cộng trả tồn.</t>
  </si>
  <si>
    <t>Gửi yêu cầu hỗ trợ cho người thật</t>
  </si>
  <si>
    <t>Mã đơn, thời điểm giữ (hệ thống)</t>
  </si>
  <si>
    <t>Giao nhận</t>
  </si>
  <si>
    <t>1. Chạy mỗi phút, xử lý mỗi đơn một lần.
2. Cộng trả tồn trong cùng giao dịch với đổi trạng thái.
3. Nếu có xác nhận thanh toán đến sau, chuyển sang quy trình hoàn tiền.</t>
  </si>
  <si>
    <t>R2-052 - Quét QR xác nhận khách nhận hàng</t>
  </si>
  <si>
    <t>Tác vụ lỗi: thử lại; nhật ký cảnh báo nếu quá 3 lần.</t>
  </si>
  <si>
    <t>Chủ quét QR bằng camera trình duyệt hoặc nhập mã dự phòng; hệ thống xác nhận và chuyển đơn Đã nhận.</t>
  </si>
  <si>
    <t>Suất được trả lại cho người khác; khách nhận thông báo Đơn hết hạn.</t>
  </si>
  <si>
    <t>Token QR hoặc mã dự phòng 6 ký tự</t>
  </si>
  <si>
    <t>1. Đơn phải thuộc cửa hàng, Đã thanh toán, trong khung nhận cộng 15 phút trễ.
2. Đánh dấu nguyên tử một lần.
3. Hiển thị tên món và số lượng để đối chiếu.</t>
  </si>
  <si>
    <t>QR đã dùng/hết hạn/sai cửa hàng/chưa thanh toán: báo rõ lý do; camera lỗi: dùng mã dự phòng.</t>
  </si>
  <si>
    <t>R1-071</t>
  </si>
  <si>
    <t>Đơn Đã nhận; ghi nhận doanh thu thu hồi; khách được thông báo.</t>
  </si>
  <si>
    <t>Xem trạng thái và trao đổi trong yêu cầu hỗ trợ</t>
  </si>
  <si>
    <t>Quản lý đơn</t>
  </si>
  <si>
    <t>R1-043 - Hủy đơn đã thanh toán</t>
  </si>
  <si>
    <t>Khách hủy đơn Đã thanh toán trước giờ bắt đầu khung nhận một khoảng cấu hình, nhận hoàn tiền đủ.</t>
  </si>
  <si>
    <t>R2-053 - Hủy đơn do cửa hàng</t>
  </si>
  <si>
    <t>Chủ hủy một đơn Đã thanh toán khi không thể giao và hoàn tiền.</t>
  </si>
  <si>
    <t>Mã đơn (hệ thống)
Lý do (chọn/tùy chọn)</t>
  </si>
  <si>
    <t>1. Hoàn 100%, không hoa hồng.
2. Chỉ hủy khi chưa nhận.
3. Tồn cộng trả nếu còn trong khung nhận.</t>
  </si>
  <si>
    <t>Đơn đã nhận: không hủy.</t>
  </si>
  <si>
    <t>1. Chỉ hủy khi còn tối thiểu 60 phút trước khung nhận (tham số cấu hình).
2. Hoàn 100% số tiền; tồn được cộng trả.
3. Không hủy đơn đã nhận hoặc đã quá hạn nhận.
4. QR bị vô hiệu ngay.</t>
  </si>
  <si>
    <t>R1-072</t>
  </si>
  <si>
    <t>Đơn Đã hủy rồi Đã hoàn tiền; khách được thông báo.</t>
  </si>
  <si>
    <t>Quá hạn hủy: báo lý do, hướng dẫn gửi khiếu nại nếu có vấn đề.</t>
  </si>
  <si>
    <t>Xem trung tâm trợ giúp và câu hỏi thường gặp</t>
  </si>
  <si>
    <t>Đơn Đã hủy rồi Đã hoàn tiền; QR vô hiệu; cửa hàng được báo.</t>
  </si>
  <si>
    <t>Khiếu nại và đánh giá</t>
  </si>
  <si>
    <t>R2-054 - Xem danh sách và chi tiết khiếu nại</t>
  </si>
  <si>
    <t>Chủ xem khiếu nại của đơn, kèm ảnh và hạn phản hồi.</t>
  </si>
  <si>
    <t>Hiển thị: đơn, loại, mô tả, ảnh, hạn phản hồi, trạng thái</t>
  </si>
  <si>
    <t>R1-073</t>
  </si>
  <si>
    <t>Chỉ khiếu nại thuộc đơn của cửa hàng.</t>
  </si>
  <si>
    <t>R1-044 - Xem danh sách đơn của tôi</t>
  </si>
  <si>
    <t>Xem danh sách thông báo</t>
  </si>
  <si>
    <t>Danh sách đơn của khách theo thời gian mới nhất trước.</t>
  </si>
  <si>
    <t>Danh sách và chi tiết.</t>
  </si>
  <si>
    <t>Hiển thị: mã đơn, tên món, cửa hàng, số lượng, tổng tiền, trạng thái, khung nhận</t>
  </si>
  <si>
    <t>Chỉ thấy đơn của chính mình.</t>
  </si>
  <si>
    <t>Chưa có đơn: màn hình trống kèm lối đi tới deal.</t>
  </si>
  <si>
    <t>R2-055 - Chấp nhận khiếu nại và hoàn tiền</t>
  </si>
  <si>
    <t>R1-074</t>
  </si>
  <si>
    <t>Chủ chấp nhận toàn bộ hoặc một phần; hệ thống hoàn tiền cho khách.</t>
  </si>
  <si>
    <t>Đánh dấu đã đọc</t>
  </si>
  <si>
    <t>Số tiền hoàn (VND, 0 &lt; số ≤ tổng đơn)
Ghi chú (0-300)</t>
  </si>
  <si>
    <t>1. Phản hồi trong 48 giờ; quá hạn tự động hoàn đủ (tham số).
2. Hoàn tiền không thu hoa hồng phần hoàn.</t>
  </si>
  <si>
    <t>Số tiền vượt tổng đơn: báo lỗi.</t>
  </si>
  <si>
    <t>Khiếu nại Đã chấp nhận; khách được hoàn và thông báo.</t>
  </si>
  <si>
    <t>R1-045 - Lọc và tìm đơn</t>
  </si>
  <si>
    <t>Lọc theo trạng thái và khoảng ngày; tìm theo mã đơn/tên cửa hàng.</t>
  </si>
  <si>
    <t>R1-075</t>
  </si>
  <si>
    <t>Trạng thái (chọn nhiều)
Từ ngày, đến ngày (ngày, đến ≥ từ)
Từ khóa</t>
  </si>
  <si>
    <t>Nhắc giờ nhận hàng (hệ thống)</t>
  </si>
  <si>
    <t>Khoảng ngày tối đa 12 tháng.</t>
  </si>
  <si>
    <t>R2-056 - Từ chối khiếu nại</t>
  </si>
  <si>
    <t>Chủ từ chối kèm lý do bắt buộc.</t>
  </si>
  <si>
    <t>Lý do (10-300 ký tự)</t>
  </si>
  <si>
    <t>Từ chối ghi vào lịch sử, khách thấy lý do; khách không mở lại, chỉ khiếu nại ngoài hệ thống ở MVP.</t>
  </si>
  <si>
    <t>R1-076</t>
  </si>
  <si>
    <t>Thiếu lý do: không cho gửi.</t>
  </si>
  <si>
    <t>Xem thống kê tác động cá nhân</t>
  </si>
  <si>
    <t>Khiếu nại Bị từ chối.</t>
  </si>
  <si>
    <t>R1-046 - Xem chi tiết đơn</t>
  </si>
  <si>
    <t>Xem đầy đủ đơn: món, số lượng, giá chốt, tổng tiền, trạng thái, mốc thời gian, QR (khi hợp lệ), trạng thái hoàn tiền, khiếu nại liên quan.</t>
  </si>
  <si>
    <t>Hiển thị: toàn bộ thuộc tính đơn, lịch sử trạng thái, mã giao dịch</t>
  </si>
  <si>
    <t>Chỉ thấy đơn của mình; QR chỉ hiện khi đơn Đã thanh toán và chưa hết khung nhận.</t>
  </si>
  <si>
    <t>Đơn không tồn tại hoặc không thuộc khách: báo không tìm thấy.</t>
  </si>
  <si>
    <t>Hiển thị chi tiết đơn.</t>
  </si>
  <si>
    <t>R2-057 - Xem và phản hồi đánh giá</t>
  </si>
  <si>
    <t>Chủ xem đánh giá của khách và gửi một phản hồi công khai cho mỗi đánh giá.</t>
  </si>
  <si>
    <t>Phản hồi (0-300 ký tự)</t>
  </si>
  <si>
    <t>R1-077</t>
  </si>
  <si>
    <t>Mỗi đánh giá một phản hồi; sửa trong 24 giờ.</t>
  </si>
  <si>
    <t>Xem lịch sử thanh toán và hoàn tiền</t>
  </si>
  <si>
    <t>Quá hạn sửa: từ chối.</t>
  </si>
  <si>
    <t>Phản hồi hiển thị công khai.</t>
  </si>
  <si>
    <t>R1-047 - Hoàn tiền tự động khi thanh toán đến muộn (hệ thống)</t>
  </si>
  <si>
    <t>Khi xác nhận thanh toán đến sau thời điểm đơn đã Hết hạn giữ hoặc suất đã hết, hệ thống tạo lệnh hoàn tiền đầy đủ cho khách và thông báo.</t>
  </si>
  <si>
    <t>Mã đơn, mã giao dịch, số tiền (hệ thống)
Trạng thái hoàn tiền (Chờ/Hoàn thành/Lỗi)</t>
  </si>
  <si>
    <t>1. Hoàn 100% số tiền đã nhận, không tính hoa hồng.
2. Mỗi mã giao dịch chỉ tạo một lệnh hoàn (chống hoàn trùng).
3. Đơn giữ nguyên trạng thái Hết hạn giữ.</t>
  </si>
  <si>
    <t>Lệnh hoàn thất bại: thử lại tối đa 3 lần rồi đưa vào danh sách đối soát thủ công.</t>
  </si>
  <si>
    <t>R2-058 - Báo cáo đánh giá vi phạm</t>
  </si>
  <si>
    <t>Khách nhận tiền hoàn và thông báo; có bản ghi giao dịch hoàn.</t>
  </si>
  <si>
    <t>R1-078</t>
  </si>
  <si>
    <t>Chủ báo cáo đánh giá có nội dung xúc phạm/sai sự thật.</t>
  </si>
  <si>
    <t>Xem ví ưu đãi</t>
  </si>
  <si>
    <t>Lý do (chọn), ghi chú</t>
  </si>
  <si>
    <t>Đánh giá bị báo cáo vẫn hiện đến khi có kết luận; xử lý bằng quy trình vận hành nền tảng ngoài hệ thống.</t>
  </si>
  <si>
    <t>Báo cáo trùng: gộp.</t>
  </si>
  <si>
    <t>Ghi nhận báo cáo; chủ nhận thông báo đã tiếp nhận.</t>
  </si>
  <si>
    <t>Chống lạm dụng</t>
  </si>
  <si>
    <t>R1-079</t>
  </si>
  <si>
    <t>R1-048 - Xem trạng thái khóa đặt và ngày hết khóa</t>
  </si>
  <si>
    <t>Nhận ưu đãi từ cửa hàng</t>
  </si>
  <si>
    <t>Khách xem số lần không đến nhận trong 30 ngày, trạng thái khóa đặt và ngày được đặt lại.</t>
  </si>
  <si>
    <t>R2-059 - Đề nghị gia hạn thời gian phản hồi khiếu nại</t>
  </si>
  <si>
    <t>Chủ đề nghị gia hạn thêm 24 giờ cho một khiếu nại, tối đa một lần mỗi khiếu nại.</t>
  </si>
  <si>
    <t>Hiển thị: số lần không đến nhận 30 ngày, ngày hết khóa, danh sách đơn bị tính</t>
  </si>
  <si>
    <t>1. Bộ đếm tính trượt theo cửa sổ 30 ngày.
2. Đơn do lỗi của cửa hàng không bị tính.
3. Đạt ngưỡng 3 lần thì khóa đặt 7 ngày (tham số cấu hình).</t>
  </si>
  <si>
    <t>Mã khiếu nại (hệ thống)
Lý do (10-200 ký tự)</t>
  </si>
  <si>
    <t>Khách chỉ xem dữ liệu của mình.</t>
  </si>
  <si>
    <t>1. Chỉ gia hạn khi chưa quá hạn 48 giờ.
2. Mỗi khiếu nại gia hạn một lần.</t>
  </si>
  <si>
    <t>Khách biết lý do và thời điểm được đặt trở lại.</t>
  </si>
  <si>
    <t>Đã gia hạn hoặc đã quá hạn: từ chối.</t>
  </si>
  <si>
    <t>Hạn phản hồi cộng 24 giờ; khách thấy hạn mới.</t>
  </si>
  <si>
    <t>R1-080</t>
  </si>
  <si>
    <t>Xem lịch sử dùng ưu đãi</t>
  </si>
  <si>
    <t>R2-060 - Tự động hoàn tiền khi quá hạn phản hồi khiếu nại (hệ thống)</t>
  </si>
  <si>
    <t>Tác vụ định kỳ tìm khiếu nại Chờ cửa hàng đã quá hạn phản hồi, chuyển Đã chấp nhận và hoàn đủ tiền cho khách.</t>
  </si>
  <si>
    <t>Mã khiếu nại, hạn phản hồi, số tiền hoàn (hệ thống)</t>
  </si>
  <si>
    <t>R1-049 - Chọn giờ hẹn nhận trong khung nhận</t>
  </si>
  <si>
    <t>R1-081</t>
  </si>
  <si>
    <t>1. Hạn 48 giờ (cộng 24 giờ nếu có gia hạn), là tham số cấu hình.
2. Hoàn 100% tổng đơn, không thu hoa hồng.
3. Khiếu nại đã xử lý không bị tác động.</t>
  </si>
  <si>
    <t>Khách chọn mốc 15 phút trong khung nhận để cửa hàng chuẩn bị đúng lúc.</t>
  </si>
  <si>
    <t>Lệnh hoàn lỗi: thử lại, cảnh báo nhật ký.</t>
  </si>
  <si>
    <t>Khiếu nại Đã chấp nhận (tự động); khách được hoàn; chủ nhận thông báo.</t>
  </si>
  <si>
    <t>Xem huy hiệu và chia sẻ thành tích tác động</t>
  </si>
  <si>
    <t>Mốc giờ hẹn (nằm trong khung nhận)
Mã đơn</t>
  </si>
  <si>
    <t>Báo cáo và đối soát</t>
  </si>
  <si>
    <t>1. Giờ hẹn là gợi ý cho cửa hàng, không thay đổi khung nhận hiệu lực của QR.
2. Sửa giờ hẹn được đến 30 phút trước mốc đã chọn.
3. Giờ hẹn không ảnh hưởng tồn kho.</t>
  </si>
  <si>
    <t>Bảng điều khiển</t>
  </si>
  <si>
    <t>Mốc ngoài khung nhận hoặc đã qua: từ chối.</t>
  </si>
  <si>
    <t>R2-061 - Xem bảng điều khiển hôm nay</t>
  </si>
  <si>
    <t>Đơn lưu giờ hẹn; web chủ tiệm hiển thị trong lịch hẹn nhận.</t>
  </si>
  <si>
    <t>Hiển thị số suất, đã bán, còn, doanh thu, đơn chờ nhận, đề xuất giá chờ duyệt.</t>
  </si>
  <si>
    <t>R1-082</t>
  </si>
  <si>
    <t>Hiển thị: chỉ số trong ngày theo thời gian thực</t>
  </si>
  <si>
    <t>[AI] Tìm deal bằng câu hỏi tự nhiên</t>
  </si>
  <si>
    <t>Chỉ số liệu của cửa hàng mình.</t>
  </si>
  <si>
    <t>Bảng điều khiển.</t>
  </si>
  <si>
    <t>Có điều kiện</t>
  </si>
  <si>
    <t>lượt/ngày (hạn mức vận hành AI, không phải gói)</t>
  </si>
  <si>
    <t>Hằng ngày</t>
  </si>
  <si>
    <t>Không cần (khách không có gói); cần bật AI trong cài đặt</t>
  </si>
  <si>
    <t>Từ chối lượt AI, hiện thời điểm đặt lại; chức năng không dùng AI vẫn hoạt động</t>
  </si>
  <si>
    <t>Báo cáo hao hụt</t>
  </si>
  <si>
    <t>R1-050 - Gửi ghi chú cho cửa hàng khi đặt</t>
  </si>
  <si>
    <t>R1-083</t>
  </si>
  <si>
    <t>R2-062 - Xem báo cáo hao hụt và thu hồi theo kỳ</t>
  </si>
  <si>
    <t>[AI] Trò chuyện với trợ lý Cứu Món</t>
  </si>
  <si>
    <t>Khách nhập ghi chú ngắn (ví dụ để riêng phần sốt) hiển thị cho cửa hàng trên đơn.</t>
  </si>
  <si>
    <t>Báo cáo ngày/tuần/tháng: hàng làm, bán, bỏ, tiền thu hồi, số kg cứu được.</t>
  </si>
  <si>
    <t>Ghi chú (0-150 ký tự)</t>
  </si>
  <si>
    <t>Từ ngày, đến ngày
Hiển thị: hao hụt (suất và tiền), doanh thu thu hồi, kg ước tính, số lần hết hàng sớm</t>
  </si>
  <si>
    <t>1. Ghi chú chỉ để thông tin, không làm thay đổi giá hoặc điều kiện đơn.
2. Lọc từ ngữ vi phạm.
3. Không sửa sau khi thanh toán.</t>
  </si>
  <si>
    <t>1. Hao hụt = tổng suất - suất đã nhận.
2. kg dùng trọng lượng cửa hàng khai báo; thiếu thì không tính.
3. Dữ liệu chốt không sửa trực tiếp.</t>
  </si>
  <si>
    <t>Ghi chú quá dài hoặc có nội dung vi phạm: từ chối.</t>
  </si>
  <si>
    <t>Ghi chú lưu vào đơn và hiển thị cho cửa hàng.</t>
  </si>
  <si>
    <t>Biểu đồ và bảng.</t>
  </si>
  <si>
    <t>R1-084</t>
  </si>
  <si>
    <t>[AI] Gợi ý deal cá nhân hóa kèm lý do</t>
  </si>
  <si>
    <t>Đối soát</t>
  </si>
  <si>
    <t>R2-063 - Xem đối soát doanh thu và hoa hồng</t>
  </si>
  <si>
    <t>Danh sách đơn đã nhận/không đến nhận, tiền thu, hoa hồng, thuê bao, số phải thanh toán cho cửa hàng.</t>
  </si>
  <si>
    <t>R1-051 - Đặt lại món đã mua</t>
  </si>
  <si>
    <t>Hiển thị: đơn, tiền thu, hoa hồng 10% (tham số), hoàn tiền, thực nhận</t>
  </si>
  <si>
    <t>1. Hoa hồng tính trên đơn Đã nhận và Hết hạn nhận.
2. Đơn hoàn không tính hoa hồng.
3. Kỳ đối soát tuần; bất biến sau chốt.</t>
  </si>
  <si>
    <t>Từ đơn cũ, khách xem các suất đang mở của cùng món ở cùng cửa hàng và đặt nhanh.</t>
  </si>
  <si>
    <t>Chênh lệch số tiền: gắn cờ để rà.</t>
  </si>
  <si>
    <t>Mã đơn cũ
Danh sách suất đang mở cùng món</t>
  </si>
  <si>
    <t>Bảng đối soát theo kỳ.</t>
  </si>
  <si>
    <t>1. Chỉ gợi ý suất thật đang mở; không sao chép giá cũ.
2. Đặt lại đi qua đầy đủ kiểm tra tồn, giá chốt và khóa đặt như đơn mới.</t>
  </si>
  <si>
    <t>R1-085</t>
  </si>
  <si>
    <t>Không có suất tương ứng: hiện thông báo và gợi ý đăng ký cảnh báo deal.</t>
  </si>
  <si>
    <t>[AI] Xem lý do gợi ý và điều chỉnh sở thích</t>
  </si>
  <si>
    <t>Chuyển sang màn hình đặt với suất hiện hành.</t>
  </si>
  <si>
    <t>Xuất báo cáo</t>
  </si>
  <si>
    <t>R2-064 - Xuất báo cáo CSV hoặc PDF</t>
  </si>
  <si>
    <t>Xuất báo cáo hao hụt hoặc đối soát.</t>
  </si>
  <si>
    <t>Loại báo cáo, kỳ, định dạng</t>
  </si>
  <si>
    <t>Ghi nhật ký mỗi lần xuất; không xuất dữ liệu cá nhân của khách.</t>
  </si>
  <si>
    <t>R1-086</t>
  </si>
  <si>
    <t>Kỳ quá dài: từ chối.</t>
  </si>
  <si>
    <t>[AI] Tóm tắt và so sánh deal giúp lựa chọn</t>
  </si>
  <si>
    <t>Tệp tải xuống.</t>
  </si>
  <si>
    <t>R1-052 - Tạo mã nhận hộ cho người khác</t>
  </si>
  <si>
    <t>Khách tạo mã nhận hộ dùng một lần để người thân nhận thay; mã gắn với đơn và hết hạn theo khung nhận.</t>
  </si>
  <si>
    <t>Mã đơn
Mã nhận hộ (hệ thống, 8 ký tự)
Trạng thái (Chưa dùng/Đã dùng/Thu hồi)</t>
  </si>
  <si>
    <t>1. Mỗi đơn tối đa 1 mã nhận hộ hiệu lực; tạo mã mới thu hồi mã cũ.
2. Mã dùng một lần, cửa hàng nhập hoặc quét giống QR.
3. Khách thu hồi được khi chưa dùng.</t>
  </si>
  <si>
    <t>Demo</t>
  </si>
  <si>
    <t>R2-065 - Chế độ demo tua nhanh thời gian</t>
  </si>
  <si>
    <t>Đơn chưa thanh toán, đã nhận hoặc đã hủy: không tạo.</t>
  </si>
  <si>
    <t>Chủ bật chế độ mô phỏng một ngày trong 2 phút trên dữ liệu mẫu để xem vòng lặp dự báo, giá, bán.</t>
  </si>
  <si>
    <t>Mã tạo ra; khi dùng, đơn chuyển Đã nhận và ghi nhận nhận hộ.</t>
  </si>
  <si>
    <t>R1-087</t>
  </si>
  <si>
    <t>[AI] Hỏi về thành phần và dị ứng của món</t>
  </si>
  <si>
    <t>Tốc độ tua (1 ngày = 2 phút)
Bộ dữ liệu mẫu</t>
  </si>
  <si>
    <t>Dữ liệu demo tách biệt, không ghi vào số liệu thật; gắn nhãn DEMO trên mọi màn hình.</t>
  </si>
  <si>
    <t>Mô phỏng chạy; thoát demo không để lại dữ liệu.</t>
  </si>
  <si>
    <t>Ưu đãi</t>
  </si>
  <si>
    <t>R1-088</t>
  </si>
  <si>
    <t>R1-053 - Áp dụng ưu đãi vào đơn khi đặt</t>
  </si>
  <si>
    <t>Khách chọn ưu đãi trong ví hoặc nhập mã để giảm thêm; hệ thống tính lại tổng tiền.</t>
  </si>
  <si>
    <t>[AI] Hướng dẫn nhận hàng và theo dõi đơn qua trợ lý</t>
  </si>
  <si>
    <t>R2-066 - Chốt đối soát tuần (hệ thống)</t>
  </si>
  <si>
    <t>Cuối mỗi tuần hệ thống chốt số liệu đơn, hoa hồng, hoàn tiền, phí thuê bao và tạo bản sao kê bất biến.</t>
  </si>
  <si>
    <t>Mã ưu đãi hoặc chọn từ ví
Tổng tiền sau ưu đãi (hệ thống)</t>
  </si>
  <si>
    <t>Kỳ (thứ hai đến chủ nhật), tổng thu, hoa hồng, hoàn tiền, thuê bao, thực nhận, trạng thái chốt</t>
  </si>
  <si>
    <t>1. Sau chốt không sửa; sai sót xử lý bằng bút toán điều chỉnh ở kỳ sau.
2. Hoa hồng và phí là tham số cấu hình.
3. Mỗi đơn chỉ vào một kỳ.</t>
  </si>
  <si>
    <t>1. Mỗi đơn tối đa 1 ưu đãi; ưu đãi không làm giá thấp hơn giá sàn của cửa hàng.
2. Điều kiện ưu đãi (cửa hàng, thời hạn, tối thiểu, giới hạn lượt) kiểm tra trên server tại thời điểm giữ suất.
3. Ưu đãi chỉ được dùng một lần cho mỗi khách, trừ khi ưu đãi cho phép nhiều lần.
4. Hủy hoặc hết hạn giữ suất thì trả lượt ưu đãi.</t>
  </si>
  <si>
    <t>Chênh lệch giữa giao dịch và đơn: gắn cờ chờ rà soát, không chặn chốt kỳ.</t>
  </si>
  <si>
    <t>Sao kê tuần tạo ra; chủ nhận thông báo.</t>
  </si>
  <si>
    <t>Ưu đãi hết hạn, hết lượt, không đủ điều kiện: từ chối kèm lý do.</t>
  </si>
  <si>
    <t>Đơn lưu giá chốt sau ưu đãi và mã ưu đãi.</t>
  </si>
  <si>
    <t>R1-089</t>
  </si>
  <si>
    <t>[AI] Soạn khiếu nại từ ảnh và mô tả của khách</t>
  </si>
  <si>
    <t>R2-067 - Xem sao kê đối soát tuần đã chốt</t>
  </si>
  <si>
    <t>Chủ xem và tải sao kê các tuần đã chốt, kèm danh sách đơn thuộc kỳ.</t>
  </si>
  <si>
    <t>Hiển thị: kỳ, tổng thu, hoa hồng, hoàn tiền, thuê bao, thực nhận, danh sách đơn</t>
  </si>
  <si>
    <t>Chỉ xem sao kê của cửa hàng mình; sao kê không chứa dữ liệu cá nhân của khách.</t>
  </si>
  <si>
    <t>Kỳ chưa chốt: hiện số tạm tính, gắn nhãn Chưa chốt.</t>
  </si>
  <si>
    <t>R1-090</t>
  </si>
  <si>
    <t>Hiển thị sao kê; ghi nhật ký khi tải.</t>
  </si>
  <si>
    <t>[AI] Chuyển cuộc trò chuyện cho người hỗ trợ khi AI không đủ khả năng</t>
  </si>
  <si>
    <t>R1-054 - Xem và tải biên nhận của đơn</t>
  </si>
  <si>
    <t>Khách xem biên nhận đơn đã thanh toán và tải PDF.</t>
  </si>
  <si>
    <t>Báo cáo kinh doanh</t>
  </si>
  <si>
    <t>R2-068 - Xem báo cáo doanh thu và đơn theo kỳ</t>
  </si>
  <si>
    <t>Chủ xem doanh thu, số đơn, giá trị trung bình, doanh thu thu hồi, hoàn tiền theo ngày/tuần/tháng.</t>
  </si>
  <si>
    <t>Hiển thị: mã đơn, món, số lượng, giá chốt, ưu đãi, tổng tiền, thời gian thanh toán, mã giao dịch</t>
  </si>
  <si>
    <t>R1-091</t>
  </si>
  <si>
    <t>Biên nhận chỉ cho đơn Đã thanh toán trở đi; biên nhận không phải hóa đơn thuế.</t>
  </si>
  <si>
    <t>[AI] Xem và xóa lịch sử trò chuyện với trợ lý</t>
  </si>
  <si>
    <t>Từ ngày, đến ngày, nhóm theo (ngày/tuần/tháng)
Hiển thị: doanh thu, đơn, hoàn tiền</t>
  </si>
  <si>
    <t>Đơn chưa thanh toán: không có biên nhận.</t>
  </si>
  <si>
    <t>Số liệu tính bằng truy vấn xác định từ đơn; kỳ tối đa 12 tháng.</t>
  </si>
  <si>
    <t>Biên nhận hiển thị và tải được.</t>
  </si>
  <si>
    <t>R1-092</t>
  </si>
  <si>
    <t>[AI] Đánh giá chất lượng câu trả lời và gợi ý của AI</t>
  </si>
  <si>
    <t>R2-069 - Xem báo cáo theo món: bán chạy và hao hụt</t>
  </si>
  <si>
    <t>Chủ xem món bán chạy, món hao hụt nhiều, tỷ lệ bán hết.</t>
  </si>
  <si>
    <t>Khôi phục giao dịch</t>
  </si>
  <si>
    <t>Hiển thị: món, đã bán, hao hụt, tỷ lệ bán hết, giá bán trung bình</t>
  </si>
  <si>
    <t>Tỷ lệ bán hết = suất đã nhận chia tổng suất; món ít hơn 5 suất bị gắn nhãn Ít dữ liệu.</t>
  </si>
  <si>
    <t>Bảng xếp hạng món.</t>
  </si>
  <si>
    <t>R1-093</t>
  </si>
  <si>
    <t>Nhận thông báo deal vào giờ khách hay mua</t>
  </si>
  <si>
    <t>R2-070 - Xem phân bố bán hàng theo giờ</t>
  </si>
  <si>
    <t>Chủ xem lượng đơn theo giờ trong ngày và theo thứ để chọn khung nhận và thời điểm giảm giá.</t>
  </si>
  <si>
    <t>Hiển thị: giờ, thứ, số đơn, tỷ lệ bán hết</t>
  </si>
  <si>
    <t>Cần ít nhất 14 ngày dữ liệu; nếu không hiển thị nhãn Chưa đủ dữ liệu.</t>
  </si>
  <si>
    <t>Chưa đủ dữ liệu: thông báo.</t>
  </si>
  <si>
    <t>R1-094</t>
  </si>
  <si>
    <t>Bản đồ nhiệt giờ và thứ.</t>
  </si>
  <si>
    <t>[AI] Tóm tắt đánh giá của cửa hàng</t>
  </si>
  <si>
    <t>R2-071 - Đo hiệu quả đề xuất giá</t>
  </si>
  <si>
    <t>Chủ xem tỷ lệ chấp nhận đề xuất giá, doanh thu thu hồi so với nhóm không giảm và số suất bán thêm.</t>
  </si>
  <si>
    <t>Hiển thị: số đề xuất, tỷ lệ duyệt, doanh thu thu hồi, hàng bỏ trước và sau</t>
  </si>
  <si>
    <t>R2-001</t>
  </si>
  <si>
    <t>So sánh trước và sau theo quy tắc cùng thứ trong tuần; ghi chú rõ đây là so sánh quan sát, không phải thí nghiệm có đối chứng.</t>
  </si>
  <si>
    <t>Đăng ký tài khoản và cửa hàng</t>
  </si>
  <si>
    <t>Báo cáo hiệu quả giá.</t>
  </si>
  <si>
    <t>Không cần</t>
  </si>
  <si>
    <t>Không ảnh hưởng khi gói đổi hoặc hết hạn.</t>
  </si>
  <si>
    <t>R2-072 - So sánh hai kỳ</t>
  </si>
  <si>
    <t>Chủ chọn hai kỳ để so sánh doanh thu, hao hụt, đơn, tỷ lệ bán hết.</t>
  </si>
  <si>
    <t>Kỳ A, kỳ B
Chỉ số</t>
  </si>
  <si>
    <t>Hai kỳ cùng độ dài; chỉ số tính bằng truy vấn xác định.</t>
  </si>
  <si>
    <t>Độ dài khác nhau: yêu cầu chỉnh.</t>
  </si>
  <si>
    <t>R1-055 - Tiếp tục thanh toán đơn đang giữ</t>
  </si>
  <si>
    <t>Bảng so sánh chênh lệch.</t>
  </si>
  <si>
    <t>Khi khách thoát app giữa chừng, app hiển thị đơn Chờ thanh toán còn thời gian giữ để tiếp tục.</t>
  </si>
  <si>
    <t>Đơn Chờ thanh toán, thời gian giữ còn lại</t>
  </si>
  <si>
    <t>R2-002</t>
  </si>
  <si>
    <t>Chỉ tiếp tục được khi còn trong thời gian giữ; hết giờ thì đơn tự Hết hạn giữ.</t>
  </si>
  <si>
    <t>Đơn đã hết hạn: báo và gợi ý đặt lại.</t>
  </si>
  <si>
    <t>Khách vào lại màn hình thanh toán đúng đơn.</t>
  </si>
  <si>
    <t>Tác động</t>
  </si>
  <si>
    <t>R2-073 - Xem và chia sẻ báo cáo tác động môi trường</t>
  </si>
  <si>
    <t>Chủ xem số suất cứu được, kg thực phẩm ước tính, tiền thu hồi, và xuất bản trang tác động công khai tùy chọn.</t>
  </si>
  <si>
    <t>Hiển thị: suất đã bán, kg ước tính, tiền thu hồi
Cờ công khai (boolean)</t>
  </si>
  <si>
    <t>1. kg chỉ tính từ trọng lượng cửa hàng khai báo.
2. Trang công khai không chứa dữ liệu khách.
3. Số liệu ghi rõ là ước tính.</t>
  </si>
  <si>
    <t>Thiếu trọng lượng món: tính phần có dữ liệu và hiện nhãn.</t>
  </si>
  <si>
    <t>Báo cáo hiển thị; trang chia sẻ tạo khi chủ bật.</t>
  </si>
  <si>
    <t>R1-056 - Kiểm tra lại trạng thái thanh toán chưa xác định</t>
  </si>
  <si>
    <t>Thông báo và nhật ký</t>
  </si>
  <si>
    <t>Khi đã chuyển tiền nhưng chưa thấy xác nhận, khách yêu cầu hệ thống kiểm tra lại với cổng thanh toán.</t>
  </si>
  <si>
    <t>R2-003</t>
  </si>
  <si>
    <t>R2-074 - Xem và đánh dấu đã đọc thông báo</t>
  </si>
  <si>
    <t>Mã đơn
Mã giao dịch (nếu có)
Trạng thái kiểm tra</t>
  </si>
  <si>
    <t>Thông báo trên web: đơn mới, đơn hủy, khiếu nại, đề xuất giá, nhắc nhập số cuối ngày.</t>
  </si>
  <si>
    <t>1. Mỗi đơn kiểm tra tối đa 1 lần/phút.
2. Xác nhận thành công thì xử lý như thanh toán bình thường; nếu đơn đã hết hạn giữ thì hoàn tiền tự động.
3. Quá 24 giờ chưa xác nhận: đóng giao dịch là Thất bại và hoàn nếu tiền đã vào.</t>
  </si>
  <si>
    <t>Hiển thị: loại, nội dung, thời gian, trạng thái đọc</t>
  </si>
  <si>
    <t>Gọi quá nhanh: từ chối kèm thời gian chờ.</t>
  </si>
  <si>
    <t>Giữ 90 ngày; chỉ của mình.</t>
  </si>
  <si>
    <t>Trạng thái cập nhật; khách nhận thông báo kết quả.</t>
  </si>
  <si>
    <t>Danh sách thông báo; số chưa đọc cập nhật.</t>
  </si>
  <si>
    <t>Nhật ký</t>
  </si>
  <si>
    <t>R2-075 - Xem nhật ký hoạt động cửa hàng</t>
  </si>
  <si>
    <t>Xem các thao tác quan trọng: đổi giá, hủy suất, điều chỉnh tồn, xuất dữ liệu, đổi hồ sơ.</t>
  </si>
  <si>
    <t>QR nhận hàng</t>
  </si>
  <si>
    <t>R1-057 - Xem mã QR nhận hàng</t>
  </si>
  <si>
    <t>Khách mở QR của đơn Đã thanh toán để đưa cho cửa hàng quét. QR chứa token ký, không chứa dữ liệu cá nhân.</t>
  </si>
  <si>
    <t>Hiển thị: thời gian, hành động, đối tượng, giá trị cũ/mới, địa chỉ IP</t>
  </si>
  <si>
    <t>R2-004</t>
  </si>
  <si>
    <t>Chỉ đọc; không xóa; giữ 12 tháng.</t>
  </si>
  <si>
    <t>Token QR (JWT ký HMAC: mã đơn, jti, hết hạn)
Mã dự phòng 6 ký tự</t>
  </si>
  <si>
    <t>Đổi mật khẩu và đặt lại mật khẩu</t>
  </si>
  <si>
    <t>1. QR hết hạn khi kết thúc khung nhận.
2. Token dùng một lần, trạng thái lưu trong DB.
3. Mã dự phòng dùng khi camera lỗi.</t>
  </si>
  <si>
    <t>Đơn chưa thanh toán/đã hủy/đã nhận: không hiện QR, báo trạng thái.</t>
  </si>
  <si>
    <t>Bảng nhật ký.</t>
  </si>
  <si>
    <t>QR hiển thị, sáng màn hình tối đa.</t>
  </si>
  <si>
    <t>Nhân viên và phân quyền</t>
  </si>
  <si>
    <t>Quản lý nhân viên</t>
  </si>
  <si>
    <t>R2-076 - Mời nhân viên vào cửa hàng</t>
  </si>
  <si>
    <t>Xác nhận nhận</t>
  </si>
  <si>
    <t>Chủ mời nhân viên bằng email; nhân viên đặt mật khẩu qua liên kết và có tài khoản thuộc cửa hàng với quyền được phân. Nhân viên là người dùng thuộc nhóm vai Chủ cửa hàng ở phạm vi giới hạn.</t>
  </si>
  <si>
    <t>R1-058 - Nhận hàng (chủ quét QR)</t>
  </si>
  <si>
    <t>Chủ cửa hàng quét QR trên web; hệ thống kiểm tra và đánh dấu Đã nhận; app khách cập nhật trạng thái.</t>
  </si>
  <si>
    <t>Email nhân viên (duy nhất)
Họ tên (2-60)
Nhóm quyền (Quản lý/Nhân viên quầy)
Liên kết mời (hệ thống, hết hạn 72 giờ)</t>
  </si>
  <si>
    <t>Token QR (hệ thống)
Mã cửa hàng của người quét (hệ thống)</t>
  </si>
  <si>
    <t>1. Chỉ tài khoản Chủ mời nhân viên.
2. Một email thuộc một cửa hàng tại một thời điểm.
3. Số nhân viên tối đa theo gói.
4. Liên kết mời dùng một lần.</t>
  </si>
  <si>
    <t>1. Chỉ cửa hàng sở hữu đơn được xác nhận.
2. Đánh dấu nguyên tử: chỉ một lần quét thành công.
3. Trong khung nhận hoặc sau tối đa 15 phút cho phép trễ (cấu hình).</t>
  </si>
  <si>
    <t>Email đã thuộc cửa hàng khác hoặc đã mời: từ chối; vượt số lượng gói: từ chối và gợi ý nâng cấp.</t>
  </si>
  <si>
    <t>QR đã dùng/hết hạn/sai cửa hàng: từ chối với lý do.</t>
  </si>
  <si>
    <t>Lời mời gửi đi; nhân viên kích hoạt sau khi đặt mật khẩu.</t>
  </si>
  <si>
    <t>Đơn Đã nhận; khách nhận thông báo; mở được đánh giá.</t>
  </si>
  <si>
    <t>R2-005</t>
  </si>
  <si>
    <t>Xem hồ sơ cửa hàng</t>
  </si>
  <si>
    <t>R2-077 - Xem danh sách và chi tiết nhân viên</t>
  </si>
  <si>
    <t>Chủ xem nhân viên, nhóm quyền, trạng thái, lần hoạt động cuối.</t>
  </si>
  <si>
    <t>R1-059 - Đơn quá hạn không đến nhận (hệ thống)</t>
  </si>
  <si>
    <t>Hết khung nhận cộng thời gian trễ, đơn Đã thanh toán chưa nhận chuyển Hết hạn nhận; tính 1 lần không đến.</t>
  </si>
  <si>
    <t>Hiển thị: tên, email, nhóm quyền, trạng thái (Chờ kích hoạt/Hoạt động/Tạm khóa/Đã gỡ), hoạt động cuối</t>
  </si>
  <si>
    <t>Chỉ Chủ xem toàn bộ; Quản lý xem danh sách không xem được thông tin gói và thanh toán.</t>
  </si>
  <si>
    <t>Mã đơn, khung nhận (hệ thống)</t>
  </si>
  <si>
    <t>1. Không hoàn tiền mặc định (tham số cấu hình).
2. Cộng 1 vào bộ đếm không đến nhận 30 ngày; đủ 3 lần thì khóa đặt 7 ngày.
3. Tiền được ghi nhận doanh thu cho cửa hàng trừ hoa hồng.</t>
  </si>
  <si>
    <t>Danh sách nhân viên.</t>
  </si>
  <si>
    <t>Cửa hàng xác nhận đóng cửa/lỗi của cửa hàng: được hoàn đủ theo khiếu nại.</t>
  </si>
  <si>
    <t>Đơn Hết hạn nhận; khách nhận cảnh báo; bộ đếm cập nhật.</t>
  </si>
  <si>
    <t>R2-006</t>
  </si>
  <si>
    <t>Chỉnh sửa hồ sơ cửa hàng</t>
  </si>
  <si>
    <t>Trước khi nhận</t>
  </si>
  <si>
    <t>R1-060 - Báo cho cửa hàng là sắp đến</t>
  </si>
  <si>
    <t>R2-078 - Đổi nhóm quyền của nhân viên</t>
  </si>
  <si>
    <t>Khách bấm Sắp đến để cửa hàng biết chuẩn bị, tối đa một lần cho mỗi đơn.</t>
  </si>
  <si>
    <t>Chủ đổi nhóm quyền. Quản lý: toàn quyền vận hành trừ gói, thanh toán, nhân viên, cấu hình quy tắc kinh doanh và xuất dữ liệu toàn bộ. Nhân viên quầy: quét QR, xem đơn trong ngày, nhập số thực tế, xem lịch hẹn nhận.</t>
  </si>
  <si>
    <t>Mã đơn
Thời điểm báo</t>
  </si>
  <si>
    <t>Nhóm quyền mới
Lý do (tùy chọn)</t>
  </si>
  <si>
    <t>1. Chỉ cho đơn Đã thanh toán trong khung nhận.
2. Không thay đổi quyền lợi hay thời hạn của đơn.</t>
  </si>
  <si>
    <t>1. Không tự nâng quyền hay đổi quyền của chính mình.
2. Quyền được kiểm tra ở tầng API cho từng thao tác.
3. Ghi nhật ký kiểm toán.</t>
  </si>
  <si>
    <t>Cửa hàng phải còn ít nhất một Chủ; đổi quyền Chủ không thực hiện ở chức năng này.</t>
  </si>
  <si>
    <t>Đã báo hoặc ngoài khung nhận: từ chối.</t>
  </si>
  <si>
    <t>Cửa hàng nhận thông báo trên web.</t>
  </si>
  <si>
    <t>Quyền hiệu lực ngay ở lần gọi API kế tiếp.</t>
  </si>
  <si>
    <t>R2-079 - Tạm khóa và mở khóa nhân viên</t>
  </si>
  <si>
    <t>R2-007</t>
  </si>
  <si>
    <t>Chủ tạm khóa nhân viên khi nghi ngờ hoặc nghỉ việc tạm thời, và mở khóa lại.</t>
  </si>
  <si>
    <t>Hậu mãi</t>
  </si>
  <si>
    <t>Thiết lập khung giờ nhận mặc định và giá sàn</t>
  </si>
  <si>
    <t>R1-061 - Gửi khiếu nại chất lượng đơn</t>
  </si>
  <si>
    <t>Mã nhân viên
Lý do (chọn)</t>
  </si>
  <si>
    <t>Khách gửi khiếu nại cho đơn Đã nhận trong thời hạn, kèm mô tả và tối đa 3 ảnh.</t>
  </si>
  <si>
    <t>1. Khóa thu hồi toàn bộ phiên đăng nhập.
2. Dữ liệu và lịch sử thao tác của nhân viên giữ nguyên.</t>
  </si>
  <si>
    <t>Mã đơn (hệ thống)
Loại (Hàng hỏng/Sai món/Thiếu hàng/Khác)
Mô tả (10-500 ký tự)
Ảnh (0-3 ảnh, mỗi ảnh tối đa 5 MB)</t>
  </si>
  <si>
    <t>Tự khóa chính mình: từ chối.</t>
  </si>
  <si>
    <t>1. Chỉ gửi khi đơn Đã nhận và trong 24 giờ kể từ giờ nhận.
2. Mỗi đơn một khiếu nại đang mở.
3. Chủ cửa hàng chịu trách nhiệm chất lượng.</t>
  </si>
  <si>
    <t>Trạng thái nhân viên đổi; ghi nhật ký.</t>
  </si>
  <si>
    <t>Quá hạn hoặc đã có khiếu nại: từ chối, nêu lý do.</t>
  </si>
  <si>
    <t>Khiếu nại trạng thái Chờ cửa hàng; cửa hàng nhận thông báo.</t>
  </si>
  <si>
    <t>R2-080 - Gỡ nhân viên khỏi cửa hàng</t>
  </si>
  <si>
    <t>Chủ gỡ nhân viên; tài khoản bị vô hiệu hóa mềm, lịch sử thao tác giữ lại dưới tên đã gỡ.</t>
  </si>
  <si>
    <t>R1-062 - Xem trạng thái và phản hồi khiếu nại</t>
  </si>
  <si>
    <t>Khách xem trạng thái (Chờ cửa hàng, Đã chấp nhận hoàn tiền, Bị từ chối, Đã đóng) và phản hồi.</t>
  </si>
  <si>
    <t>Hiển thị: loại, mô tả, ảnh, trạng thái, phản hồi, số tiền hoàn</t>
  </si>
  <si>
    <t>Mã nhân viên
Xác nhận (mật khẩu chủ)</t>
  </si>
  <si>
    <t>Chỉ xem khiếu nại của mình.</t>
  </si>
  <si>
    <t>1. Không xóa vật lý vì nhật ký kiểm toán tham chiếu nhân viên.
2. Phiên bị thu hồi ngay.</t>
  </si>
  <si>
    <t>Hiển thị tiến trình khiếu nại.</t>
  </si>
  <si>
    <t>Nhân viên đang xử lý khiếu nại hoặc đơn dở: yêu cầu chuyển người phụ trách hoặc chấp nhận để trống.</t>
  </si>
  <si>
    <t>Nhân viên không đăng nhập được.</t>
  </si>
  <si>
    <t>R2-008</t>
  </si>
  <si>
    <t>Chọn chế độ định giá: duyệt tay hoặc tự động</t>
  </si>
  <si>
    <t>Không</t>
  </si>
  <si>
    <t>Giám sát</t>
  </si>
  <si>
    <t>R1-063 - Rút khiếu nại</t>
  </si>
  <si>
    <t>R2-081 - Xem hoạt động của từng nhân viên</t>
  </si>
  <si>
    <t>Khách rút khiếu nại khi chưa được xử lý.</t>
  </si>
  <si>
    <t>Chủ xem các thao tác quan trọng theo nhân viên: quét QR, đổi giá, hủy suất, điều chỉnh tồn.</t>
  </si>
  <si>
    <t>Nâng cấp Pro hoặc dùng thử Pro 1 tháng.</t>
  </si>
  <si>
    <t>Mã khiếu nại (hệ thống)</t>
  </si>
  <si>
    <t>Hiển thị: nhân viên, hành động, đối tượng, thời điểm
Bộ lọc: nhân viên, loại hành động, khoảng ngày</t>
  </si>
  <si>
    <t>Chỉ rút khi trạng thái Chờ cửa hàng; không mở lại sau khi rút.</t>
  </si>
  <si>
    <t>Chỉ Chủ và Quản lý xem; nhật ký chỉ đọc, giữ 12 tháng.</t>
  </si>
  <si>
    <t>Đã xử lý: không rút.</t>
  </si>
  <si>
    <t>Khiếu nại Đã đóng.</t>
  </si>
  <si>
    <t>Khoảng ngày quá 90 ngày: yêu cầu thu hẹp.</t>
  </si>
  <si>
    <t>Danh sách hoạt động.</t>
  </si>
  <si>
    <t>Khách hàng của cửa hàng</t>
  </si>
  <si>
    <t>Gói Pro hoặc đang trong thời gian dùng thử.</t>
  </si>
  <si>
    <t>Danh sách khách</t>
  </si>
  <si>
    <t>R2-082 - Xem danh sách khách đã mua</t>
  </si>
  <si>
    <t>Khi hết hạn hoặc hủy: tính năng bị khóa; dữ liệu đã tạo (dự báo, đề xuất giá, lịch sử) chỉ xem; chế độ giá tự động tắt, giá các suất đang mở giữ nguyên.</t>
  </si>
  <si>
    <t>Chủ xem khách đã mua ở cửa hàng dưới dạng ẩn danh: chữ cái đầu của tên, số đơn, tổng chi tiêu, lần mua cuối, số lần không đến nhận.</t>
  </si>
  <si>
    <t>R2-009</t>
  </si>
  <si>
    <t>R1-064 - Gửi đánh giá cửa hàng</t>
  </si>
  <si>
    <t>Tạm ngưng cửa hàng</t>
  </si>
  <si>
    <t>Khách chấm 1-5 sao và nhận xét cho đơn Đã nhận.</t>
  </si>
  <si>
    <t>Hiển thị: mã khách rút gọn, chữ cái đầu, số đơn, tổng chi, lần mua cuối, số lần không đến</t>
  </si>
  <si>
    <t>Mã đơn (hệ thống)
Số sao (1-5, bắt buộc)
Nhận xét (0-300 ký tự)</t>
  </si>
  <si>
    <t>1. Không hiển thị email, SĐT hay vị trí của khách.
2. Chỉ khách có đơn tại cửa hàng này.
3. Khách đã xóa tài khoản hiển thị là Đã ẩn danh.</t>
  </si>
  <si>
    <t>1. Mỗi đơn một đánh giá.
2. Chỉ khi đơn Đã nhận.
3. Lọc từ ngữ vi phạm cơ bản.</t>
  </si>
  <si>
    <t>Đã đánh giá: từ chối; nội dung vi phạm: từ chối kèm lý do.</t>
  </si>
  <si>
    <t>Danh sách khách có phân trang.</t>
  </si>
  <si>
    <t>Điểm trung bình cửa hàng cập nhật.</t>
  </si>
  <si>
    <t>R2-083 - Xem lịch sử mua của một khách</t>
  </si>
  <si>
    <t>Chủ xem các đơn của một khách tại cửa hàng và xu hướng món hay mua.</t>
  </si>
  <si>
    <t>Hiển thị: đơn, món, thời gian, trạng thái, khiếu nại, đánh giá</t>
  </si>
  <si>
    <t>Chỉ dữ liệu giao dịch tại cửa hàng này.</t>
  </si>
  <si>
    <t>Khách ngoài cửa hàng: từ chối.</t>
  </si>
  <si>
    <t>R1-065 - Sửa đánh giá</t>
  </si>
  <si>
    <t>Khách sửa số sao/nhận xét trong 24 giờ sau khi gửi.</t>
  </si>
  <si>
    <t>Lịch sử mua của khách.</t>
  </si>
  <si>
    <t>Số sao, nhận xét như khi tạo</t>
  </si>
  <si>
    <t>R2-010</t>
  </si>
  <si>
    <t>Sau 24 giờ khóa sửa; lưu lịch sử bản sửa.</t>
  </si>
  <si>
    <t>Quá hạn: từ chối.</t>
  </si>
  <si>
    <t>Mở lại cửa hàng</t>
  </si>
  <si>
    <t>Đánh giá cập nhật, điểm trung bình tính lại.</t>
  </si>
  <si>
    <t>Phân nhóm</t>
  </si>
  <si>
    <t>R2-084 - Xem phân nhóm khách theo quy tắc</t>
  </si>
  <si>
    <t>Hệ thống phân khách thành Mới, Thân thiết, Có nguy cơ rời, Hay không đến nhận bằng quy tắc xác định (số đơn, khoảng cách ngày mua gần nhất, tỷ lệ không đến) và cho chủ xem số lượng từng nhóm.</t>
  </si>
  <si>
    <t>Hiển thị: nhóm, số khách, đặc điểm nhóm
Ngưỡng cấu hình: số đơn thân thiết (mặc định 5), số ngày nguy cơ rời (mặc định 30)</t>
  </si>
  <si>
    <t>1. Đây là thống kê quy tắc, không dùng mô hình ngôn ngữ.
2. Phân nhóm tính lại hằng ngày.
3. Chủ chỉ xem số lượng và danh sách ẩn danh trong nhóm.</t>
  </si>
  <si>
    <t>Chưa đủ dữ liệu (dưới 20 khách): hiện thông báo.</t>
  </si>
  <si>
    <t>Báo cáo phân nhóm khách.</t>
  </si>
  <si>
    <t>Ghi chú</t>
  </si>
  <si>
    <t>R1-066 - Ẩn đánh giá của tôi</t>
  </si>
  <si>
    <t>R2-085 - Ghi chú nội bộ về khách</t>
  </si>
  <si>
    <t>Khách ẩn đánh giá đã gửi; hệ thống không xóa vật lý.</t>
  </si>
  <si>
    <t>Chủ ghi chú nội bộ (ví dụ hay đặt bánh mì) gắn với mã khách rút gọn.</t>
  </si>
  <si>
    <t>R2-011</t>
  </si>
  <si>
    <t>Mã đánh giá (hệ thống)</t>
  </si>
  <si>
    <t>Mã khách rút gọn
Ghi chú (0-200)</t>
  </si>
  <si>
    <t>Xem gói và dùng thử Pro</t>
  </si>
  <si>
    <t>1. Ghi chú nội bộ cửa hàng, khách không xem được.
2. Không ghi thông tin nhận dạng cá nhân.
3. Xóa vật lý được.</t>
  </si>
  <si>
    <t>Đánh giá bị ẩn không tính vào điểm trung bình; giữ bản ghi để đối chiếu.</t>
  </si>
  <si>
    <t>Ghi chú có SĐT hoặc email: cảnh báo và từ chối lưu.</t>
  </si>
  <si>
    <t>Ghi chú lưu.</t>
  </si>
  <si>
    <t>Đánh giá ẩn khỏi công khai.</t>
  </si>
  <si>
    <t>R1-067 - Xem lịch sử các khiếu nại</t>
  </si>
  <si>
    <t>R2-012</t>
  </si>
  <si>
    <t>Khách xem toàn bộ khiếu nại đã gửi, lọc theo trạng thái.</t>
  </si>
  <si>
    <t>Nâng cấp lên Pro hoặc hạ về Cơ bản</t>
  </si>
  <si>
    <t>Hiển thị: đơn, loại, trạng thái, ngày gửi, ngày xử lý, số tiền hoàn</t>
  </si>
  <si>
    <t>Chỉ thấy khiếu nại của mình; không xóa.</t>
  </si>
  <si>
    <t>Danh sách khiếu nại.</t>
  </si>
  <si>
    <t>Quan tâm cửa hàng</t>
  </si>
  <si>
    <t>R2-086 - Xem số khách yêu thích cửa hàng</t>
  </si>
  <si>
    <t>Chủ xem số khách đã yêu thích cửa hàng và xu hướng theo tuần.</t>
  </si>
  <si>
    <t>Hiển thị: tổng khách yêu thích, tăng giảm theo tuần</t>
  </si>
  <si>
    <t>Chỉ hiện số lượng tổng hợp, không danh sách cá nhân.</t>
  </si>
  <si>
    <t>Số lượng và biểu đồ.</t>
  </si>
  <si>
    <t>R1-068 - Bổ sung bằng chứng cho khiếu nại</t>
  </si>
  <si>
    <t>Khách bổ sung ảnh hoặc mô tả khi cửa hàng yêu cầu thêm thông tin.</t>
  </si>
  <si>
    <t>R2-013</t>
  </si>
  <si>
    <t>Gia hạn gói Pro</t>
  </si>
  <si>
    <t>Ảnh bổ sung (tối đa 3, mỗi ảnh 5 MB)
Mô tả bổ sung (0-300)</t>
  </si>
  <si>
    <t>1. Chỉ bổ sung khi khiếu nại ở trạng thái Chờ cửa hàng.
2. Tối đa 2 lần bổ sung; hạn phản hồi của cửa hàng không bị đặt lại.</t>
  </si>
  <si>
    <t>Khiếu nại đã xử lý: từ chối.</t>
  </si>
  <si>
    <t>Bằng chứng gắn vào khiếu nại; cửa hàng được thông báo.</t>
  </si>
  <si>
    <t>R2-087 - Xem khách thường không đến nhận</t>
  </si>
  <si>
    <t>Chủ xem danh sách ẩn danh khách có tỷ lệ không đến nhận cao để cân nhắc quy tắc đặt.</t>
  </si>
  <si>
    <t>Hiển thị: mã rút gọn, số lần không đến, số đơn</t>
  </si>
  <si>
    <t>Dữ liệu tổng hợp ẩn danh; không cho chủ chặn khách theo cá nhân, việc khóa đặt do hệ thống thực hiện theo ngưỡng.</t>
  </si>
  <si>
    <t>Danh sách tham khảo.</t>
  </si>
  <si>
    <t>Báo cáo vi phạm</t>
  </si>
  <si>
    <t>R1-069 - Báo cáo cửa hàng hoặc nội dung vi phạm</t>
  </si>
  <si>
    <t>Khách báo cáo cửa hàng có mô tả sai, đánh giá vi phạm hoặc hành vi đáng ngờ.</t>
  </si>
  <si>
    <t>R2-014</t>
  </si>
  <si>
    <t>Ưu đãi và chiến dịch</t>
  </si>
  <si>
    <t>Đối tượng (cửa hàng/deal/đánh giá)
Lý do (chọn)
Mô tả (0-300)
Ảnh (tùy chọn)</t>
  </si>
  <si>
    <t>Hủy gói Pro</t>
  </si>
  <si>
    <t>1. Một khách chỉ báo cáo một lần cho cùng đối tượng.
2. Báo cáo không tự ẩn nội dung; xử lý qua quy trình hỗ trợ.
3. Ngưỡng tự động ẩn tạm: 5 báo cáo khác nhau trong 24 giờ (tham số).</t>
  </si>
  <si>
    <t>R2-088 - Tạo ưu đãi cho khách</t>
  </si>
  <si>
    <t>Báo cáo trùng: gộp và thông báo đã ghi nhận.</t>
  </si>
  <si>
    <t>Chủ tạo ưu đãi giảm thêm theo số tiền hoặc phần trăm cho nhóm khách chọn, trong thời hạn và số lượt giới hạn.</t>
  </si>
  <si>
    <t>Ghi nhận báo cáo, tạo yêu cầu hỗ trợ nội bộ.</t>
  </si>
  <si>
    <t>Tên (2-60)
Loại (Giảm %/Giảm tiền)
Giá trị (số)
Đối tượng (Tất cả/Khách yêu thích/Nhóm Thân thiết/Nhóm Có nguy cơ rời)
Giới hạn lượt (số nguyên)
Thời hạn (bắt đầu-kết thúc)
Đơn tối thiểu (VND, tùy chọn)</t>
  </si>
  <si>
    <t>1. Ưu đãi không làm giá bán thấp hơn giá sàn.
2. Giảm % tối đa 50, giảm tiền tối đa 50% giá bán.
3. Số ưu đãi đang chạy tối đa theo gói.
4. Ưu đãi do cửa hàng chịu chi phí; hoa hồng tính trên giá sau ưu đãi.</t>
  </si>
  <si>
    <t>Giá trị vượt giới hạn hoặc thời hạn không hợp lệ: từ chối.</t>
  </si>
  <si>
    <t>Ưu đãi ở trạng thái Nháp hoặc Đang chạy.</t>
  </si>
  <si>
    <t>Hỗ trợ</t>
  </si>
  <si>
    <t>R1-070 - Gửi yêu cầu hỗ trợ cho người thật</t>
  </si>
  <si>
    <t>Khách gửi yêu cầu hỗ trợ về đơn, thanh toán, tài khoản; yêu cầu liên quan đơn được gửi tới cửa hàng, yêu cầu liên quan nền tảng chuyển hàng đợi hỗ trợ.</t>
  </si>
  <si>
    <t>R2-089 - Xem danh sách và hiệu quả ưu đãi</t>
  </si>
  <si>
    <t>Loại (Đơn/Thanh toán/Tài khoản/Khác)
Mã đơn (tùy chọn)
Nội dung (10-1000)
Ảnh (0-3)</t>
  </si>
  <si>
    <t>1. Mỗi yêu cầu có mã và trạng thái Mở, Đang xử lý, Đã trả lời, Đã đóng.
2. Yêu cầu gửi kèm tóm tắt hội thoại AI nếu khách đồng ý.
3. Tối đa 5 yêu cầu mở đồng thời.</t>
  </si>
  <si>
    <t>Chủ xem ưu đãi, số lượt đã dùng, doanh thu từ đơn dùng ưu đãi.</t>
  </si>
  <si>
    <t>R2-015</t>
  </si>
  <si>
    <t>Vượt giới hạn: yêu cầu đóng bớt; thiếu nội dung: báo lỗi.</t>
  </si>
  <si>
    <t>Xem hóa đơn và lịch sử thanh toán gói</t>
  </si>
  <si>
    <t>Hiển thị: ưu đãi, trạng thái, lượt dùng/giới hạn, doanh thu, số tiền giảm</t>
  </si>
  <si>
    <t>Yêu cầu tạo, khách nhận mã tra cứu.</t>
  </si>
  <si>
    <t>Chỉ ưu đãi của cửa hàng mình.</t>
  </si>
  <si>
    <t>Danh sách và chỉ số.</t>
  </si>
  <si>
    <t>R2-090 - Sửa, tạm dừng hoặc kết thúc ưu đãi</t>
  </si>
  <si>
    <t>Chủ sửa ưu đãi chưa có lượt dùng, tạm dừng hoặc kết thúc sớm ưu đãi đang chạy.</t>
  </si>
  <si>
    <t>Các trường như khi tạo
Hành động (Sửa/Tạm dừng/Kết thúc)</t>
  </si>
  <si>
    <t>1. Ưu đãi đã có lượt dùng chỉ được tăng giới hạn lượt hoặc gia hạn, không giảm giá trị.
2. Kết thúc sớm không ảnh hưởng đơn đã áp dụng.
3. Không xóa, ưu đãi lưu trữ để giữ lịch sử.</t>
  </si>
  <si>
    <t>R1-071 - Xem trạng thái và trao đổi trong yêu cầu hỗ trợ</t>
  </si>
  <si>
    <t>Sửa giá trị khi đã có lượt dùng: từ chối.</t>
  </si>
  <si>
    <t>Ưu đãi cập nhật hoặc đổi trạng thái; khách thấy ngay.</t>
  </si>
  <si>
    <t>Khách theo dõi trạng thái, đọc và trả lời trong luồng yêu cầu hỗ trợ.</t>
  </si>
  <si>
    <t>Hiển thị: trạng thái, nội dung trao đổi, tệp đính kèm
Trả lời (1-1000)</t>
  </si>
  <si>
    <t>R2-016</t>
  </si>
  <si>
    <t>Chỉ khách và bên xử lý thấy; khách đóng yêu cầu được; yêu cầu Đã đóng không mở lại, chỉ tạo mới có tham chiếu.</t>
  </si>
  <si>
    <t>Xem hạn mức sử dụng của gói</t>
  </si>
  <si>
    <t>Yêu cầu đã đóng: không gửi thêm.</t>
  </si>
  <si>
    <t>Luồng trao đổi cập nhật; thông báo cho bên xử lý.</t>
  </si>
  <si>
    <t>Túi bất ngờ</t>
  </si>
  <si>
    <t>R2-091 - Tạo túi bất ngờ để bán hết hàng cuối ngày</t>
  </si>
  <si>
    <t>Chủ gộp nhiều món dư thành túi bất ngờ giá cố định, khách chỉ biết loại và giá trị tối thiểu, mô tả chung nội dung.</t>
  </si>
  <si>
    <t>Tên túi
Số lượng túi
Giá bán
Giá trị ước tính tối thiểu (VND)
Loại món có thể có
Dị ứng có thể có (bắt buộc khai báo)
Khung nhận</t>
  </si>
  <si>
    <t>1. Giá bán không vượt 60% giá trị ước tính tối thiểu (tham số).
2. Phải khai báo thành phần và dị ứng có thể có.
3. Túi dùng cơ chế tồn kho và đơn như suất thường.
4. Không hoàn tiền vì nội dung túi khác kỳ vọng, nhưng vẫn khiếu nại được nếu hàng không đạt chất lượng.</t>
  </si>
  <si>
    <t>Thiếu khai báo dị ứng: từ chối.</t>
  </si>
  <si>
    <t>Túi hiện trong danh sách deal như một suất.</t>
  </si>
  <si>
    <t>R1-072 - Xem trung tâm trợ giúp và câu hỏi thường gặp</t>
  </si>
  <si>
    <t>Khách đọc hướng dẫn nhận hàng, hoàn tiền, thanh toán, cách dùng QR.</t>
  </si>
  <si>
    <t>Hiển thị: nhóm chủ đề, bài viết</t>
  </si>
  <si>
    <t>Nội dung do nền tảng quản lý, hiển thị theo ngôn ngữ của khách.</t>
  </si>
  <si>
    <t>Chiến dịch thông báo</t>
  </si>
  <si>
    <t>R2-092 - Tạo chiến dịch thông báo đến khách yêu thích</t>
  </si>
  <si>
    <t>Bài viết hiển thị.</t>
  </si>
  <si>
    <t>Chủ soạn thông báo (ví dụ có bánh mới giảm sâu) gửi cho khách yêu thích cửa hàng và đã đồng ý nhận ưu đãi, đặt lịch gửi.</t>
  </si>
  <si>
    <t>R2-017</t>
  </si>
  <si>
    <t>Xem danh sách món</t>
  </si>
  <si>
    <t>Tiêu đề (≤50)
Nội dung (≤150)
Đối tượng (Khách yêu thích/Nhóm Thân thiết/Nhóm Có nguy cơ rời)
Liên kết suất hoặc ưu đãi
Thời điểm gửi</t>
  </si>
  <si>
    <t>1. Chỉ gửi đến khách đã đồng ý nhận ưu đãi.
2. Tối đa 1 chiến dịch/ngày mỗi cửa hàng và 2 thông báo/ngày cho mỗi khách từ mọi cửa hàng.
3. Không gửi 22:00-07:00.
4. Nội dung qua bộ lọc từ ngữ vi phạm.
5. Số chiến dịch/tháng theo gói.</t>
  </si>
  <si>
    <t>Đối tượng rỗng, nội dung vi phạm, vượt tần suất: từ chối.</t>
  </si>
  <si>
    <t>Chiến dịch Đã lên lịch; gửi bất đồng bộ qua hàng đợi.</t>
  </si>
  <si>
    <t>Thông báo và tác động</t>
  </si>
  <si>
    <t>R1-073 - Xem danh sách thông báo</t>
  </si>
  <si>
    <t>Khách xem thông báo trong app: deal mới, đơn, nhắc giờ nhận, khiếu nại.</t>
  </si>
  <si>
    <t>Hiển thị: tiêu đề, nội dung, thời gian, trạng thái đọc, liên kết</t>
  </si>
  <si>
    <t>R2-093 - Hủy hoặc đổi lịch chiến dịch</t>
  </si>
  <si>
    <t>Giữ 90 ngày; chỉ thấy thông báo của mình.</t>
  </si>
  <si>
    <t>Chủ hủy hoặc đổi lịch chiến dịch chưa gửi.</t>
  </si>
  <si>
    <t>Mã chiến dịch
Thời điểm mới</t>
  </si>
  <si>
    <t>Danh sách thông báo.</t>
  </si>
  <si>
    <t>Chỉ hủy hoặc sửa khi trạng thái Đã lên lịch và còn trên 15 phút trước giờ gửi.</t>
  </si>
  <si>
    <t>Đã gửi hoặc sát giờ: từ chối.</t>
  </si>
  <si>
    <t>Chiến dịch Đã hủy hoặc đổi lịch.</t>
  </si>
  <si>
    <t>R2-018</t>
  </si>
  <si>
    <t>Tìm kiếm, lọc và sắp xếp món</t>
  </si>
  <si>
    <t>R1-074 - Đánh dấu đã đọc</t>
  </si>
  <si>
    <t>Khách đánh dấu một hoặc tất cả thông báo đã đọc.</t>
  </si>
  <si>
    <t>Mã thông báo (hệ thống)</t>
  </si>
  <si>
    <t>Chỉ đánh dấu thông báo của mình.</t>
  </si>
  <si>
    <t>R2-094 - Xem hiệu quả chiến dịch thông báo</t>
  </si>
  <si>
    <t>Mã không tồn tại: bỏ qua.</t>
  </si>
  <si>
    <t>Số chưa đọc cập nhật.</t>
  </si>
  <si>
    <t>Chủ xem số người nhận, tỷ lệ mở, số đơn phát sinh trong 24 giờ sau khi gửi.</t>
  </si>
  <si>
    <t>Hiển thị: người nhận, tỷ lệ mở, bấm, số đơn, doanh thu</t>
  </si>
  <si>
    <t>Đơn được quy cho chiến dịch nếu khách bấm vào liên kết và đặt trong 24 giờ.</t>
  </si>
  <si>
    <t>Chiến dịch chưa gửi: chưa có số liệu.</t>
  </si>
  <si>
    <t>Báo cáo chiến dịch.</t>
  </si>
  <si>
    <t>R1-075 - Nhắc giờ nhận hàng (hệ thống)</t>
  </si>
  <si>
    <t>Hệ thống gửi push trước khung nhận 30 phút cho đơn Đã thanh toán chưa nhận.</t>
  </si>
  <si>
    <t>Gửi một lần mỗi đơn; không gửi cho đơn đã hủy.</t>
  </si>
  <si>
    <t>Công việc và lịch</t>
  </si>
  <si>
    <t>FCM lỗi: lưu thông báo trong app.</t>
  </si>
  <si>
    <t>Việc cần làm</t>
  </si>
  <si>
    <t>Khách nhận thông báo nhắc.</t>
  </si>
  <si>
    <t>R2-019</t>
  </si>
  <si>
    <t>R2-095 - Xem bảng việc cần làm hôm nay</t>
  </si>
  <si>
    <t>Xem chi tiết món</t>
  </si>
  <si>
    <t>Hệ thống tổng hợp việc cần chủ xử lý: đề xuất giá chờ duyệt, khiếu nại sắp hết hạn, nhập số thực tế, suất chưa mở, dữ liệu món thiếu.</t>
  </si>
  <si>
    <t>Hiển thị: loại việc, mô tả, hạn, liên kết xử lý, mức khẩn</t>
  </si>
  <si>
    <t>1. Việc sinh tự động từ trạng thái dữ liệu, không do AI tạo.
2. Việc hoàn thành tự biến mất.
3. Nhân viên chỉ thấy việc thuộc quyền.</t>
  </si>
  <si>
    <t>Danh sách việc ưu tiên.</t>
  </si>
  <si>
    <t>Tác động cá nhân</t>
  </si>
  <si>
    <t>R1-076 - Xem thống kê tác động cá nhân</t>
  </si>
  <si>
    <t>Khách xem số đơn đã nhận, tiền tiết kiệm so với giá gốc và khối lượng thực phẩm cứu được ước tính.</t>
  </si>
  <si>
    <t>Hiển thị: số đơn nhận, tiền tiết kiệm = tổng(giá gốc - giá bán) x số lượng, khối lượng ước tính (kg)</t>
  </si>
  <si>
    <t>1. Chỉ tính đơn Đã nhận.
2. Khối lượng ước tính theo trọng lượng cửa hàng khai báo cho từng món; món chưa khai báo không tính và có ghi chú.</t>
  </si>
  <si>
    <t>Chưa có đơn: hiện 0.</t>
  </si>
  <si>
    <t>Hiển thị chỉ số cá nhân.</t>
  </si>
  <si>
    <t>R2-020</t>
  </si>
  <si>
    <t>Tạo món mới</t>
  </si>
  <si>
    <t>Thanh toán đã qua</t>
  </si>
  <si>
    <t>R1-077 - Xem lịch sử thanh toán và hoàn tiền</t>
  </si>
  <si>
    <t>Khách xem các giao dịch thanh toán, hoàn tiền kèm trạng thái.</t>
  </si>
  <si>
    <t>Hiển thị: mã giao dịch, mã đơn, số tiền, loại, trạng thái, thời gian</t>
  </si>
  <si>
    <t>Chỉ xem giao dịch của mình; không xóa được.</t>
  </si>
  <si>
    <t>R2-096 - Cấu hình nhắc việc</t>
  </si>
  <si>
    <t>Chủ chọn loại việc cần nhắc, thời điểm và kênh (web, email).</t>
  </si>
  <si>
    <t>Hiển thị lịch sử giao dịch.</t>
  </si>
  <si>
    <t>Loại nhắc, thời điểm (HH:mm), kênh</t>
  </si>
  <si>
    <t>R2-021</t>
  </si>
  <si>
    <t>Nhắc về khiếu nại sắp hết hạn và giao dịch hoàn tiền là bắt buộc, không tắt được.</t>
  </si>
  <si>
    <t>Gợi ý thông tin món từ ảnh bằng AI</t>
  </si>
  <si>
    <t>Tắt nhắc bắt buộc: từ chối.</t>
  </si>
  <si>
    <t>Lịch nhắc lưu.</t>
  </si>
  <si>
    <t>lượt/tháng</t>
  </si>
  <si>
    <t>Hằng tháng</t>
  </si>
  <si>
    <t>Nâng cấp Pro để tăng hạn mức.</t>
  </si>
  <si>
    <t>Từ chối thao tác, hiện số lượt còn lại và thời điểm đặt lại; gợi ý nâng cấp.</t>
  </si>
  <si>
    <t>Ưu đãi và tác động</t>
  </si>
  <si>
    <t>Về Cơ bản: áp dụng hạn mức gói Cơ bản từ chu kỳ kế tiếp; dữ liệu đã có giữ nguyên.</t>
  </si>
  <si>
    <t>Ví ưu đãi</t>
  </si>
  <si>
    <t>Lịch cửa hàng</t>
  </si>
  <si>
    <t>R1-078 - Xem ví ưu đãi</t>
  </si>
  <si>
    <t>R2-097 - Khai báo ngày nghỉ và giờ mở cửa đặc biệt</t>
  </si>
  <si>
    <t>Khách xem ưu đãi đang có, điều kiện, hạn dùng.</t>
  </si>
  <si>
    <t>Chủ khai báo ngày nghỉ hoặc giờ mở cửa khác thường để suất và dự báo không tính nhầm.</t>
  </si>
  <si>
    <t>Hiển thị: tên, giá trị, điều kiện, hạn dùng, trạng thái</t>
  </si>
  <si>
    <t>Chỉ thấy ưu đãi cấp cho mình hoặc ưu đãi công khai đã nhận; ưu đãi hết hạn chuyển Đã hết hạn.</t>
  </si>
  <si>
    <t>Ngày (hoặc khoảng ngày)
Loại (Nghỉ/Giờ đặc biệt)
Giờ mở, giờ đóng (nếu đặc biệt)
Ghi chú</t>
  </si>
  <si>
    <t>1. Không khai báo nghỉ khi còn suất Đã thanh toán trong ngày đó.
2. Ngày nghỉ được dự báo bỏ qua và không tính hao hụt.
3. Khung nhận phải nằm trong giờ đặc biệt.</t>
  </si>
  <si>
    <t>Còn đơn trong ngày nghỉ: liệt kê, yêu cầu hủy và hoàn tiền trước.</t>
  </si>
  <si>
    <t>R2-022</t>
  </si>
  <si>
    <t>Danh sách ưu đãi.</t>
  </si>
  <si>
    <t>Chỉnh sửa món</t>
  </si>
  <si>
    <t>Lịch cập nhật; tạo suất bị chặn ngày nghỉ.</t>
  </si>
  <si>
    <t>R2-098 - Xem lịch hẹn nhận hàng trong ngày</t>
  </si>
  <si>
    <t>Chủ và nhân viên quầy xem lịch giờ hẹn nhận theo mốc 15 phút để chuẩn bị hàng.</t>
  </si>
  <si>
    <t>Hiển thị: mốc giờ, mã đơn, món, số lượng, ghi chú, trạng thái báo sắp đến</t>
  </si>
  <si>
    <t>R1-079 - Nhận ưu đãi từ cửa hàng</t>
  </si>
  <si>
    <t>Đơn chưa hẹn giờ gom vào nhóm Chưa hẹn; chỉ đơn Đã thanh toán hiển thị.</t>
  </si>
  <si>
    <t>Khách nhận ưu đãi từ chiến dịch của cửa hàng yêu thích hoặc nhập mã nhận.</t>
  </si>
  <si>
    <t>Lịch hẹn nhận.</t>
  </si>
  <si>
    <t>Mã chiến dịch/mã ưu đãi
Trạng thái nhận</t>
  </si>
  <si>
    <t>1. Chỉ nhận khi khách đồng ý nhận ưu đãi.
2. Mỗi khách nhận một lần cho mỗi chiến dịch.
3. Chiến dịch hết lượt thì từ chối.</t>
  </si>
  <si>
    <t>Hết lượt, hết hạn, đã nhận: báo rõ lý do.</t>
  </si>
  <si>
    <t>Ưu đãi vào ví.</t>
  </si>
  <si>
    <t>Chất lượng dữ liệu</t>
  </si>
  <si>
    <t>Kiểm tra dữ liệu</t>
  </si>
  <si>
    <t>R2-099 - Xem cảnh báo dữ liệu thiếu hoặc bất thường</t>
  </si>
  <si>
    <t>Hệ thống quét bằng quy tắc: món thiếu trọng lượng, giá vốn, thành phần; ngày không nhập số thực tế; số nhập bất thường so với lịch sử; giá gốc thay đổi lớn.</t>
  </si>
  <si>
    <t>R2-023</t>
  </si>
  <si>
    <t>Lưu trữ món</t>
  </si>
  <si>
    <t>Hiển thị: loại cảnh báo, đối tượng, mức độ, gợi ý sửa
Trạng thái (Mở/Đã xử lý/Bỏ qua)</t>
  </si>
  <si>
    <t>1. Quy tắc xác định, không dùng AI.
2. Cảnh báo bỏ qua có lý do và sẽ xuất hiện lại nếu dữ liệu tiếp tục sai.
3. Dữ liệu thiếu làm giảm độ tin cậy dự báo và được thể hiện ở đó.</t>
  </si>
  <si>
    <t>Danh sách cảnh báo và điểm đầy đủ dữ liệu.</t>
  </si>
  <si>
    <t>R2-100 - Cập nhật hàng loạt thuộc tính món</t>
  </si>
  <si>
    <t>Chủ chọn nhiều món để cập nhật cùng lúc trọng lượng, hạn dùng chuẩn, loại.</t>
  </si>
  <si>
    <t>R1-080 - Xem lịch sử dùng ưu đãi</t>
  </si>
  <si>
    <t>Khách xem ưu đãi đã dùng và số tiền tiết kiệm.</t>
  </si>
  <si>
    <t>Danh sách món
Thuộc tính cần đổi</t>
  </si>
  <si>
    <t>1. Tối đa 100 món/lần.
2. Có xem trước và chỉ áp dụng cho dữ liệu tương lai.
3. Lưu nhật ký thay đổi từng món.</t>
  </si>
  <si>
    <t>Giá trị không hợp lệ ở một món: bỏ qua món đó và liệt kê.</t>
  </si>
  <si>
    <t>Món cập nhật; báo số thành công và thất bại.</t>
  </si>
  <si>
    <t>Hiển thị: ưu đãi, đơn áp dụng, số tiền giảm, thời điểm</t>
  </si>
  <si>
    <t>Chỉ xem lịch sử của mình; không xóa.</t>
  </si>
  <si>
    <t>Danh sách lịch sử.</t>
  </si>
  <si>
    <t>Cấu hình và quy tắc kinh doanh</t>
  </si>
  <si>
    <t>Quy tắc cửa hàng</t>
  </si>
  <si>
    <t>R2-101 - Thiết lập quy tắc kinh doanh của cửa hàng</t>
  </si>
  <si>
    <t>Chủ đặt các quy tắc riêng trong khung nền tảng cho phép: số suất tối đa mỗi đơn, thời gian trễ cho phép khi nhận, nhận hộ cho phép hay không.</t>
  </si>
  <si>
    <t>Suất tối đa mỗi đơn (1-5)
Thời gian trễ cho phép (0-30 phút)
Cho phép nhận hộ (boolean)</t>
  </si>
  <si>
    <t>1. Chỉ Chủ đổi.
2. Giá trị mới áp dụng cho đơn tạo sau, không đổi đơn đang giữ.
3. Ghi nhật ký thay đổi cấu hình.</t>
  </si>
  <si>
    <t>Ngoài khoảng cho phép: từ chối.</t>
  </si>
  <si>
    <t>Quy tắc lưu và áp dụng cho đơn mới.</t>
  </si>
  <si>
    <t>R1-081 - Xem huy hiệu và chia sẻ thành tích tác động</t>
  </si>
  <si>
    <t>Khách xem cột mốc dựa trên số đơn đã nhận và kg thực phẩm đã cứu; chia sẻ ảnh thành tích không chứa dữ liệu cá nhân.</t>
  </si>
  <si>
    <t>R2-102 - Xem lịch sử thay đổi cấu hình</t>
  </si>
  <si>
    <t>Hiển thị: cột mốc, số đơn, kg ước tính
Ảnh chia sẻ (hệ thống tạo)</t>
  </si>
  <si>
    <t>R2-024</t>
  </si>
  <si>
    <t>Chủ xem ai đổi cấu hình nào, giá trị cũ và mới.</t>
  </si>
  <si>
    <t>1. Cột mốc tính từ đơn Đã nhận, số cố định cấu hình.
2. kg chỉ tính từ trọng lượng cửa hàng khai báo.
3. Không có thông báo thúc giục hay chuỗi ngày bắt buộc.</t>
  </si>
  <si>
    <t>Khôi phục món</t>
  </si>
  <si>
    <t>Chưa đạt cột mốc: hiện tiến độ.</t>
  </si>
  <si>
    <t>Huy hiệu hiển thị; ảnh chia sẻ tạo khi khách yêu cầu.</t>
  </si>
  <si>
    <t>Hiển thị: thời điểm, người đổi, cấu hình, giá trị cũ/mới</t>
  </si>
  <si>
    <t>Chỉ đọc; giữ 12 tháng.</t>
  </si>
  <si>
    <t>Trợ lý AI cho khách hàng</t>
  </si>
  <si>
    <t>Tìm kiếm thông minh</t>
  </si>
  <si>
    <t>R1-082 - [AI] Tìm deal bằng câu hỏi tự nhiên</t>
  </si>
  <si>
    <t>Khách gõ câu như bánh ngọt dưới 30 nghìn gần chỗ làm sau 19 giờ. Mô hình chỉ chuyển câu thành bộ lọc có cấu trúc (loại món, giá, khoảng cách, giờ); hệ thống chạy truy vấn thật trên dữ liệu suất đang mở và trả danh sách. AI không tạo ra deal.</t>
  </si>
  <si>
    <t>Dữ liệu cửa hàng</t>
  </si>
  <si>
    <t>R2-103 - Xuất toàn bộ dữ liệu cửa hàng</t>
  </si>
  <si>
    <t>Đầu vào: câu hỏi (1-200 ký tự), vị trí hoặc địa điểm đã lưu
Đầu ra của mô hình: bộ lọc JSON (món, giá_tối_đa, bán_kính, giờ_nhận, từ khóa)
Kết quả hiển thị: danh sách suất từ CSDL</t>
  </si>
  <si>
    <t>Chủ yêu cầu tệp dữ liệu cửa hàng: món, suất, đơn (ẩn danh khách), báo cáo, sao kê.</t>
  </si>
  <si>
    <t>1. Bộ lọc do mô hình trả về phải qua kiểm tra schema và giới hạn giá trị trước khi chạy.
2. Mọi số liệu giá, tồn, giờ nhận lấy từ CSDL.
3. Hiển thị bộ lọc đã hiểu để khách sửa.
4. Không dùng lịch sử đơn khi cá nhân hóa đang tắt.
Phân tách rõ: số liệu và dữ liệu lấy từ hệ thống; phần diễn đạt do mô hình ngôn ngữ sinh; quyết định do người dùng; hành động chỉ do hệ thống thực hiện sau khi kiểm tra điều kiện.
Hạn mức AI: 30 lượt/khách/ngày (tham số).
Nhật ký AI lưu: mã yêu cầu, tính năng, phạm vi dữ liệu được truy cập, mô hình, độ trễ, kết quả, phản hồi của người dùng; chỉ người dùng sở hữu và cửa hàng liên quan truy vết được.
Chỉ số đánh giá: tỷ lệ khách bấm vào kết quả, tỷ lệ phải sửa bộ lọc, thời gian đến lúc đặt đơn.</t>
  </si>
  <si>
    <t>Phạm vi, định dạng (CSV/JSON)
Liên kết tải (hết hạn 24 giờ)</t>
  </si>
  <si>
    <t>Câu hỏi ngoài phạm vi tìm deal hoặc không rõ: yêu cầu làm rõ, không đoán.
Bộ lọc không hợp lệ: bỏ phần lỗi và báo phần đã hiểu.
Lỗi/hết thời gian chờ (10 giây) hoặc hết hạn mức: dùng bộ lọc thủ công, tính năng tìm kiếm thường vẫn hoạt động.</t>
  </si>
  <si>
    <t>1. Chỉ Chủ; yêu cầu xác thực lại mật khẩu.
2. Tối đa 1 lần/ngày; xử lý bất đồng bộ.
3. Không chứa dữ liệu nhận dạng khách.</t>
  </si>
  <si>
    <t>Danh sách deal khớp bộ lọc kèm cách AI hiểu câu hỏi; khách có thể chỉnh bộ lọc.</t>
  </si>
  <si>
    <t>Tệp tạo; ghi nhật ký kiểm toán.</t>
  </si>
  <si>
    <t>R2-025</t>
  </si>
  <si>
    <t>Mô phỏng chính sách</t>
  </si>
  <si>
    <t>Nhập danh mục món từ CSV</t>
  </si>
  <si>
    <t>Mô phỏng</t>
  </si>
  <si>
    <t>R2-104 - Chạy mô phỏng chính sách giá trên dữ liệu lịch sử</t>
  </si>
  <si>
    <t>Trợ lý hội thoại</t>
  </si>
  <si>
    <t>Chủ chọn kịch bản giá (ví dụ giảm cố định 30% cuối ngày so với đề xuất động) và chạy lại trên dữ liệu bán của cửa hàng bằng lõi core để ước lượng hao hụt và doanh thu thu hồi.</t>
  </si>
  <si>
    <t>R1-083 - [AI] Trò chuyện với trợ lý Cứu Món</t>
  </si>
  <si>
    <t>Khách hỏi đáp nhiều lượt với trợ lý về deal quanh mình, cách nhận hàng, trạng thái đơn của chính mình. Trợ lý gọi các công cụ có kiểm soát (tìm deal, xem đơn của khách, tra thông tin cửa hàng) và chỉ trả lời dựa trên kết quả công cụ.</t>
  </si>
  <si>
    <t>Kịch bản (chọn)
Khoảng ngày lịch sử (14-90 ngày)
Giả định độ co giãn (mặc định cấu hình)</t>
  </si>
  <si>
    <t>dòng/lần nhập</t>
  </si>
  <si>
    <t>Mỗi lần nhập</t>
  </si>
  <si>
    <t>1. Mô phỏng dùng cùng lõi core như chế độ chạy thật.
2. Kết quả ghi rõ là ước lượng dựa trên giả định, không phải cam kết.
3. Cần ít nhất 14 ngày dữ liệu.
4. Chạy bất đồng bộ qua hàng đợi.</t>
  </si>
  <si>
    <t>Đầu vào: tin nhắn (1-500 ký tự), mã phiên hội thoại
Ngữ cảnh: tối đa 10 lượt gần nhất, đơn của chính khách khi cần
Đầu ra: câu trả lời và liên kết hành động</t>
  </si>
  <si>
    <t>Chưa đủ dữ liệu: từ chối và nêu số ngày còn thiếu.</t>
  </si>
  <si>
    <t>1. Trợ lý chỉ truy cập dữ liệu của chính khách và dữ liệu công khai của deal.
2. Trợ lý không đặt hàng, không hủy, không hoàn tiền; chỉ đưa liên kết để khách tự thao tác.
3. Không trả lời câu hỏi về tài khoản người khác.
4. Ghi nhớ ngữ cảnh chỉ khi khách bật; tắt thì xóa sau phiên.
Phân tách rõ: số liệu và dữ liệu lấy từ hệ thống; phần diễn đạt do mô hình ngôn ngữ sinh; quyết định do người dùng; hành động chỉ do hệ thống thực hiện sau khi kiểm tra điều kiện.
Hạn mức AI: 30 lượt/khách/ngày (tham số).
Nhật ký AI lưu: mã yêu cầu, tính năng, phạm vi dữ liệu được truy cập, mô hình, độ trễ, kết quả, phản hồi của người dùng; chỉ người dùng sở hữu và cửa hàng liên quan truy vết được.
Chỉ số đánh giá: tỷ lệ phiên giải quyết không cần hỗ trợ người thật, điểm hài lòng, tỷ lệ chuyển hỗ trợ.</t>
  </si>
  <si>
    <t>Báo cáo mô phỏng lưu lại, xem được sau.</t>
  </si>
  <si>
    <t>Câu hỏi thiếu dữ liệu: nói rõ chưa có thông tin, đề nghị chuyển yêu cầu hỗ trợ.
Nội dung độc hại hoặc cố lấy dữ liệu người khác: từ chối.
Lỗi/hết thời gian chờ (10 giây) hoặc hết hạn mức: hiện thông báo trợ lý tạm không khả dụng, các chức năng khác giữ nguyên.</t>
  </si>
  <si>
    <t>Khách nhận câu trả lời kèm nguồn dữ liệu (deal, đơn); có nút phản hồi hữu ích hoặc không.</t>
  </si>
  <si>
    <t>R2-105 - Xem và so sánh kết quả mô phỏng</t>
  </si>
  <si>
    <t>Chủ xem các lần mô phỏng đã chạy và so sánh kịch bản.</t>
  </si>
  <si>
    <t>Hiển thị: kịch bản, tham số, hao hụt ước tính, doanh thu thu hồi ước tính, hết hàng sớm</t>
  </si>
  <si>
    <t>Cá nhân hóa</t>
  </si>
  <si>
    <t>Kết quả bất biến sau khi chạy; có thể xóa mềm.</t>
  </si>
  <si>
    <t>R1-084 - [AI] Gợi ý deal cá nhân hóa kèm lý do</t>
  </si>
  <si>
    <t>Bảng so sánh.</t>
  </si>
  <si>
    <t>Hệ thống xếp hạng deal theo lịch sử đơn, cửa hàng yêu thích, giờ hay mua và hồ sơ ăn uống bằng điểm có thể giải thích; mô hình ngôn ngữ chỉ viết câu giải thích ngắn từ các thành phần điểm.</t>
  </si>
  <si>
    <t>R2-026</t>
  </si>
  <si>
    <t>Xem danh sách suất hôm nay và các ngày</t>
  </si>
  <si>
    <t>Dữ liệu dùng: đơn đã nhận, cửa hàng yêu thích, giờ mua, hồ sơ ăn uống (nếu có)
Đầu ra: danh sách deal, thành phần điểm, câu giải thích</t>
  </si>
  <si>
    <t>1. Chỉ chạy khi khách bật cá nhân hóa.
2. Điểm tính bằng công thức xác định; AI không đổi thứ hạng.
3. Deal có thành phần khách tránh bị loại hoặc gắn cảnh báo.
4. Không dùng dữ liệu của khách khác để gợi ý thông tin cá nhân.
Phân tách rõ: số liệu và dữ liệu lấy từ hệ thống; phần diễn đạt do mô hình ngôn ngữ sinh; quyết định do người dùng; hành động chỉ do hệ thống thực hiện sau khi kiểm tra điều kiện.
Hạn mức AI: Không tính hạn mức lượt hỏi; câu giải thích tối đa 100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bấm vào gợi ý, tỷ lệ đặt từ gợi ý, tỷ lệ Không quan tâm.</t>
  </si>
  <si>
    <t>Chưa đủ lịch sử (dưới 3 đơn): dùng gợi ý theo khoảng cách và mức giảm, ghi nhãn gợi ý chung.
Lỗi/hết thời gian chờ (10 giây) hoặc hết hạn mức: hiện danh sách theo khoảng cách, không có câu giải thích AI (công thức vẫn chạy).</t>
  </si>
  <si>
    <t>Mục Dành cho bạn trên màn hình deal, mỗi gợi ý có lý do; khách chọn Không quan tâm hoặc Tại sao tôi thấy điều này.</t>
  </si>
  <si>
    <t>Hỗ trợ nền tảng</t>
  </si>
  <si>
    <t>Yêu cầu hỗ trợ</t>
  </si>
  <si>
    <t>R2-106 - Gửi yêu cầu hỗ trợ cho nền tảng</t>
  </si>
  <si>
    <t>Chủ gửi yêu cầu về thanh toán gói, lỗi hệ thống, khiếu nại tranh chấp, báo cáo vi phạm.</t>
  </si>
  <si>
    <t>Loại (Thanh toán/Lỗi/Tranh chấp/Khác)
Nội dung (10-1000)
Đính kèm (0-3)</t>
  </si>
  <si>
    <t>Mỗi yêu cầu có mã và trạng thái Mở, Đang xử lý, Đã trả lời, Đã đóng; tối đa 10 yêu cầu mở.</t>
  </si>
  <si>
    <t>Vượt giới hạn: yêu cầu đóng bớt.</t>
  </si>
  <si>
    <t>R1-085 - [AI] Xem lý do gợi ý và điều chỉnh sở thích</t>
  </si>
  <si>
    <t>Khách xem vì sao một deal được gợi ý, bấm Không quan tâm theo cửa hàng hoặc loại món, hoặc tắt cá nhân hóa.</t>
  </si>
  <si>
    <t>Yêu cầu tạo; chủ nhận mã tra cứu.</t>
  </si>
  <si>
    <t>Đầu vào: mã gợi ý, lựa chọn (Không quan tâm cửa hàng/loại món/tắt)
Đầu ra: thành phần điểm, danh sách đã ẩn</t>
  </si>
  <si>
    <t>R2-027</t>
  </si>
  <si>
    <t>Lọc và tìm suất</t>
  </si>
  <si>
    <t>R2-107 - Xem trạng thái và trao đổi trong yêu cầu hỗ trợ</t>
  </si>
  <si>
    <t>Chủ theo dõi và trả lời trong luồng hỗ trợ.</t>
  </si>
  <si>
    <t>Hiển thị: trạng thái, trao đổi, tệp
Trả lời (1-1000)</t>
  </si>
  <si>
    <t>Chỉ chủ và bên xử lý thấy; yêu cầu Đã đóng không mở lại.</t>
  </si>
  <si>
    <t>Luồng trao đổi cập nhật.</t>
  </si>
  <si>
    <t>Trợ lý AI và phân tích</t>
  </si>
  <si>
    <t>Hỏi đáp dữ liệu</t>
  </si>
  <si>
    <t>R2-108 - [AI] Hỏi đáp dữ liệu kinh doanh bằng ngôn ngữ tự nhiên</t>
  </si>
  <si>
    <t>Chủ hỏi như tuần này bánh nào hao hụt nhiều nhất. Mô hình chuyển câu hỏi thành một truy vấn nằm trong danh mục truy vấn được phép (chỉ số, khoảng thời gian, nhóm theo); hệ thống chạy truy vấn xác định, trả số liệu, mô hình chỉ diễn đạt kết quả. AI không tự tính hay suy đoán số liệu.</t>
  </si>
  <si>
    <t>Đầu vào: câu hỏi (1-300 ký tự)
Bước trung gian: đặc tả truy vấn JSON (chỉ_số, kỳ, nhóm_theo, bộ_lọc)
Đầu ra: bảng/biểu đồ từ CSDL và câu trả lời</t>
  </si>
  <si>
    <t>1. Đặc tả truy vấn phải thuộc danh mục cho phép và luôn bị ràng buộc theo mã cửa hàng của người hỏi; không sinh SQL tự do.
2. Mọi con số hiển thị lấy từ kết quả truy vấn và hiển thị kèm kỳ và định nghĩa chỉ số.
3. Nhân viên chỉ hỏi được trong phạm vi quyền của mình.
4. Câu hỏi chưa có chỉ số tương ứng thì nói rõ chưa hỗ trợ.
Phân tách rõ: số liệu và dữ liệu lấy từ hệ thống; phần diễn đạt do mô hình ngôn ngữ sinh; quyết định do người dùng; hành động chỉ do hệ thống thực hiện sau khi kiểm tra điều kiện.
Hạn mức AI: Cơ bản 10 câu/tháng, Pro 300 câu/tháng (tham số).
Nhật ký AI lưu: mã yêu cầu, tính năng, phạm vi dữ liệu được truy cập, mô hình, độ trễ, kết quả, phản hồi của người dùng; chỉ người dùng sở hữu và cửa hàng liên quan truy vết được.
Chỉ số đánh giá: tỷ lệ truy vấn thành công, độ chính xác số liệu trên bộ kiểm thử, thời gian tiết kiệm so với tự xem báo cáo.</t>
  </si>
  <si>
    <t>Câu hỏi mơ hồ: hỏi lại; kỳ dữ liệu không đủ: nói rõ.
Đặc tả không hợp lệ: không chạy, hiện lý do.
Lỗi/hết thời gian chờ (10 giây) hoặc hết hạn mức: hiện danh sách báo cáo dựng sẵn để chủ tự xem.</t>
  </si>
  <si>
    <t>Chủ nhận câu trả lời kèm bảng/biểu đồ và định nghĩa chỉ số; có thể lưu câu hỏi thường dùng.</t>
  </si>
  <si>
    <t>R2-028</t>
  </si>
  <si>
    <t>Tạo suất</t>
  </si>
  <si>
    <t>R2-109 - [AI] Trò chuyện với trợ lý cửa hàng nhiều lượt</t>
  </si>
  <si>
    <t>Chủ trao đổi nhiều lượt: hỏi tiếp, so sánh kỳ, yêu cầu giải thích. Trợ lý giữ ngữ cảnh trong phiên và gọi các công cụ phân tích, báo cáo, dự báo đã có; không thực hiện thay đổi dữ liệu.</t>
  </si>
  <si>
    <t>suất mở/ngày</t>
  </si>
  <si>
    <t>Đầu vào: tin nhắn (1-500), mã phiên
Ngữ cảnh: 10 lượt gần nhất
Công cụ: truy vấn chỉ số, đọc dự báo, đọc báo cáo</t>
  </si>
  <si>
    <t>1. Trợ lý chỉ đọc dữ liệu cửa hàng của người dùng và không có công cụ ghi.
2. Đề xuất hành động chuyển thành thẻ đề xuất để chủ duyệt.
3. Không trả lời về dữ liệu cửa hàng khác.
Phân tách rõ: số liệu và dữ liệu lấy từ hệ thống; phần diễn đạt do mô hình ngôn ngữ sinh; quyết định do người dùng; hành động chỉ do hệ thống thực hiện sau khi kiểm tra điều kiện.
Hạn mức AI: Dùng chung hạn mức Hỏi đáp dữ liệu.
Nhật ký AI lưu: mã yêu cầu, tính năng, phạm vi dữ liệu được truy cập, mô hình, độ trễ, kết quả, phản hồi của người dùng; chỉ người dùng sở hữu và cửa hàng liên quan truy vết được.
Chỉ số đánh giá: số lượt hội thoại hữu ích, tỷ lệ chuyển thành hành động.</t>
  </si>
  <si>
    <t>Câu hỏi ngoài phạm vi: từ chối nhẹ và gợi ý phạm vi hỗ trợ.
Lỗi/hết thời gian chờ (10 giây) hoặc hết hạn mức: tắt trợ lý, chức năng báo cáo giữ nguyên.</t>
  </si>
  <si>
    <t>Trả lời kèm nguồn số liệu và nút tạo thẻ đề xuất.</t>
  </si>
  <si>
    <t>Quản lý hội thoại</t>
  </si>
  <si>
    <t>R2-110 - [AI] Xem và xóa lịch sử trò chuyện với trợ lý</t>
  </si>
  <si>
    <t>Chủ xem các hội thoại với trợ lý, xóa từng hội thoại hoặc toàn bộ.</t>
  </si>
  <si>
    <t>Hiển thị: danh sách hội thoại, thời điểm, người hỏi</t>
  </si>
  <si>
    <t>R2-029</t>
  </si>
  <si>
    <t>1. Mỗi người dùng chỉ thấy hội thoại của mình; Chủ không xem hội thoại của nhân viên trừ khi bật quyền giám sát cấu hình.
2. Xóa là xóa nội dung, giữ thống kê ẩn danh.
3. Giữ tối đa 90 ngày.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không áp dụng.</t>
  </si>
  <si>
    <t>Nhân bản suất của hôm qua</t>
  </si>
  <si>
    <t>Không có.
Lỗi/hết thời gian chờ (10 giây) hoặc hết hạn mức: không áp dụng.</t>
  </si>
  <si>
    <t>Hội thoại bị xóa.</t>
  </si>
  <si>
    <t>Báo cáo thông minh</t>
  </si>
  <si>
    <t>R2-111 - [AI] Tóm tắt và giải thích báo cáo tuần</t>
  </si>
  <si>
    <t>Cuối tuần hệ thống tính các chỉ số chính bằng truy vấn xác định; mô hình viết bản tóm tắt dễ hiểu nêu điểm nổi bật và thay đổi so với tuần trước, mọi số liệu đi kèm bảng gốc.</t>
  </si>
  <si>
    <t>Cơ bản: số lượng không có gợi ý từ dự báo, chủ nhập tay.</t>
  </si>
  <si>
    <t>Đầu vào: chỉ số tuần (tính bằng hệ thống)
Đầu ra: bản tóm tắt, danh sách điểm nổi bật, liên kết báo cáo</t>
  </si>
  <si>
    <t>Về Cơ bản: bỏ gợi ý số lượng từ dự báo, các suất đã tạo giữ nguyên.</t>
  </si>
  <si>
    <t>1. Mỗi con số trong tóm tắt phải khớp bảng chỉ số; hệ thống kiểm tra đối chiếu trước khi gửi.
2. Tóm tắt chỉ mô tả, phần nguyên nhân phải nằm ở UC Phân tích nguyên nhân.
3. Tạo bất đồng bộ vào sáng thứ hai, gửi qua thông báo web và email nếu chủ bật.
Phân tách rõ: số liệu và dữ liệu lấy từ hệ thống; phần diễn đạt do mô hình ngôn ngữ sinh; quyết định do người dùng; hành động chỉ do hệ thống thực hiện sau khi kiểm tra điều kiện.
Hạn mức AI: Tạo theo lịch, Pro: 1 bản/tuần; Cơ bản không có.
Nhật ký AI lưu: mã yêu cầu, tính năng, phạm vi dữ liệu được truy cập, mô hình, độ trễ, kết quả, phản hồi của người dùng; chỉ người dùng sở hữu và cửa hàng liên quan truy vết được.
Chỉ số đánh giá: tỷ lệ chủ mở bản tóm tắt, thời gian đọc báo cáo giảm, tỷ lệ số liệu khớp.</t>
  </si>
  <si>
    <t>Số không khớp: bỏ phần diễn đạt, gửi bảng số liệu thuần.
Lỗi/hết thời gian chờ (10 giây) hoặc hết hạn mức: gửi bảng số liệu tuần không có đoạn diễn đạt.</t>
  </si>
  <si>
    <t>Bản tóm tắt tuần lưu trong lịch sử báo cáo.</t>
  </si>
  <si>
    <t>1. Mục đã ẩn không xuất hiện trong gợi ý nhưng vẫn xuất hiện trong tìm kiếm.
2. Khách xem và gỡ danh sách đã ẩn.
3. Tắt cá nhân hóa xóa dữ liệu hồ sơ gợi ý trong 24 giờ.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khách tắt cá nhân hóa, độ lệch sau khi điều chỉnh.</t>
  </si>
  <si>
    <t>Không có.
Lỗi/hết thời gian chờ (10 giây) hoặc hết hạn mức: hiện thành phần điểm mà không có phần giải thích bằng ngôn ngữ.</t>
  </si>
  <si>
    <t>Gợi ý cập nhật theo lựa chọn.</t>
  </si>
  <si>
    <t>Số lượng mặc định lấy từ dự báo ngày mai.</t>
  </si>
  <si>
    <t>Phát hiện bất thường</t>
  </si>
  <si>
    <t>R2-112 - Phát hiện biến động bất thường của doanh thu, đơn và hao hụt</t>
  </si>
  <si>
    <t>Hệ thống so sánh chỉ số hằng ngày với mức kỳ vọng theo thứ trong tuần bằng thống kê xác định (độ lệch bền vững), và cảnh báo khi vượt ngưỡng. Không dùng mô hình ngôn ngữ để phát hiện.</t>
  </si>
  <si>
    <t>R2-030</t>
  </si>
  <si>
    <t>Chỉnh sửa suất chưa bán hết</t>
  </si>
  <si>
    <t>Dữ liệu: doanh thu, số đơn, hao hụt, tỷ lệ bán hết, tỷ lệ không đến nhận theo ngày
Ngưỡng nhạy (Thấp/Vừa/Cao)
Đầu ra: cảnh báo (chỉ số, mức lệch, kỳ)</t>
  </si>
  <si>
    <t>1. Cần ít nhất 28 ngày dữ liệu.
2. Mỗi chỉ số tối đa 1 cảnh báo/ngày.
3. Ngày nghỉ và sự kiện khai báo được loại khỏi đường cơ sở.
4. Cảnh báo có thể đánh dấu Sai và dùng để điều chỉnh ngưỡng.
Phân tách rõ: số liệu và dữ liệu lấy từ hệ thống; phần diễn đạt do mô hình ngôn ngữ sinh; quyết định do người dùng; hành động chỉ do hệ thống thực hiện sau khi kiểm tra điều kiện.
Hạn mức AI: Chạy theo lịch, Pro.
Nhật ký AI lưu: mã yêu cầu, tính năng, phạm vi dữ liệu được truy cập, mô hình, độ trễ, kết quả, phản hồi của người dùng; chỉ người dùng sở hữu và cửa hàng liên quan truy vết được.
Chỉ số đánh giá: độ chính xác cảnh báo theo đánh dấu của chủ, số cảnh báo sai mỗi tuần.</t>
  </si>
  <si>
    <t>Chưa đủ dữ liệu: không phát cảnh báo, hiện nhãn.
Lỗi/hết thời gian chờ (10 giây) hoặc hết hạn mức: ẩn cảnh báo, báo cáo thường vẫn có.</t>
  </si>
  <si>
    <t>Cảnh báo hiển thị trên bảng việc và thông báo; chủ chuyển sang phân tích nguyên nhân.</t>
  </si>
  <si>
    <t>Hỗ trợ quyết định</t>
  </si>
  <si>
    <t>R1-086 - [AI] Tóm tắt và so sánh deal giúp lựa chọn</t>
  </si>
  <si>
    <t>Khách chọn 2 đến 3 deal; hệ thống lập bảng so sánh bằng dữ liệu thật và mô hình viết đoạn tóm tắt nêu điểm khác biệt chính như giá, khoảng cách, giờ nhận.</t>
  </si>
  <si>
    <t>Đầu vào: 2-3 mã suất
Đầu ra: bảng so sánh (dữ liệu hệ thống), đoạn tóm tắt (AI)</t>
  </si>
  <si>
    <t>Phân tích nguyên nhân</t>
  </si>
  <si>
    <t>R2-113 - [AI] Phân tích nguyên nhân có thể của một biến động</t>
  </si>
  <si>
    <t>1. Mọi con số trong tóm tắt phải khớp dữ liệu bảng; hệ thống kiểm tra đối chiếu số trước khi hiển thị.
2. Tóm tắt không nêu thông tin dinh dưỡng hoặc an toàn thực phẩm vượt quá nội dung cửa hàng khai báo.
3. Không khuyến nghị bắt buộc, chỉ nêu điểm khác biệt.
Phân tách rõ: số liệu và dữ liệu lấy từ hệ thống; phần diễn đạt do mô hình ngôn ngữ sinh; quyết định do người dùng; hành động chỉ do hệ thống thực hiện sau khi kiểm tra điều kiện.
Hạn mức AI: Tính vào hạn mức 30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khách đặt sau khi so sánh, tỷ lệ dùng tóm tắt hữu ích.</t>
  </si>
  <si>
    <t>Từ một cảnh báo hoặc câu hỏi vì sao, hệ thống tính các yếu tố có thể liên quan bằng thống kê (ngày trong tuần, giá giảm, thời tiết, sự kiện, hết hàng sớm, đổi menu); mô hình diễn đạt các giả thuyết xếp theo mức hỗ trợ của dữ liệu.</t>
  </si>
  <si>
    <t>Không khớp số liệu: bỏ đoạn tóm tắt và chỉ hiện bảng.
Lỗi/hết thời gian chờ (10 giây) hoặc hết hạn mức: chỉ hiện bảng so sánh.</t>
  </si>
  <si>
    <t>Bảng so sánh kèm đoạn tóm tắt; khách tự quyết định.</t>
  </si>
  <si>
    <t>Đầu vào: mã cảnh báo hoặc câu hỏi, kỳ
Dữ liệu: các yếu tố trên của cửa hàng
Đầu ra: danh sách giả thuyết kèm bằng chứng và mức hỗ trợ</t>
  </si>
  <si>
    <t>1. Kết quả luôn gắn nhãn Giả thuyết, không khẳng định quan hệ nhân quả.
2. Mỗi giả thuyết trích số liệu hệ thống làm bằng chứng.
3. Không dùng dữ liệu thị trường bên ngoài chưa được cấp phép.
Phân tách rõ: số liệu và dữ liệu lấy từ hệ thống; phần diễn đạt do mô hình ngôn ngữ sinh; quyết định do người dùng; hành động chỉ do hệ thống thực hiện sau khi kiểm tra điều kiện.
Hạn mức AI: Tính vào hạn mức Hỏi đáp dữ liệu.
Nhật ký AI lưu: mã yêu cầu, tính năng, phạm vi dữ liệu được truy cập, mô hình, độ trễ, kết quả, phản hồi của người dùng; chỉ người dùng sở hữu và cửa hàng liên quan truy vết được.
Chỉ số đánh giá: tỷ lệ chủ đánh giá hữu ích, tỷ lệ giả thuyết được xác nhận sau đó.</t>
  </si>
  <si>
    <t>Không đủ bằng chứng: nói rõ chưa xác định được.
Lỗi/hết thời gian chờ (10 giây) hoặc hết hạn mức: hiện bảng yếu tố thống kê không có diễn đạt.</t>
  </si>
  <si>
    <t>Chủ nhận danh sách giả thuyết, có thể tạo thẻ đề xuất hành động.</t>
  </si>
  <si>
    <t>R2-031</t>
  </si>
  <si>
    <t>Hỏi đáp thành phần</t>
  </si>
  <si>
    <t>Điều chỉnh tồn kho có lý do</t>
  </si>
  <si>
    <t>R1-087 - [AI] Hỏi về thành phần và dị ứng của món</t>
  </si>
  <si>
    <t>Khách hỏi món có chứa thành phần nào. Trợ lý chỉ trả lời từ thành phần và dị ứng cửa hàng khai báo, nếu không có thì nói rõ chưa có thông tin và gợi ý hỏi cửa hàng.</t>
  </si>
  <si>
    <t>Đầu vào: câu hỏi, mã suất
Nguồn dữ liệu duy nhất: trường thành phần/dị ứng do cửa hàng khai báo
Đầu ra: câu trả lời kèm nhãn Theo khai báo của cửa hàng</t>
  </si>
  <si>
    <t>1. AI không được suy đoán thành phần từ tên món hoặc ảnh.
2. Không khẳng định món không chứa chất gây dị ứng khi cửa hàng chưa khai báo.
3. Mọi câu trả lời kèm thông báo xác nhận trực tiếp với cửa hàng nếu bị dị ứng nghiêm trọng.
Phân tách rõ: số liệu và dữ liệu lấy từ hệ thống; phần diễn đạt do mô hình ngôn ngữ sinh; quyết định do người dùng; hành động chỉ do hệ thống thực hiện sau khi kiểm tra điều kiện.
Hạn mức AI: Tính vào hạn mức 30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câu trả lời có căn cứ dữ liệu, số lần khách gửi câu hỏi cho cửa hàng.</t>
  </si>
  <si>
    <t>Thiếu khai báo: Chưa có thông tin và nút gửi câu hỏi cho cửa hàng.
Lỗi/hết thời gian chờ (10 giây) hoặc hết hạn mức: hiện nguyên văn thành phần cửa hàng khai báo.</t>
  </si>
  <si>
    <t>Khách nhận câu trả lời có căn cứ hoặc gửi được câu hỏi cho cửa hàng.</t>
  </si>
  <si>
    <t>Đề xuất hành động</t>
  </si>
  <si>
    <t>R2-114 - [AI] Đề xuất hành động cải thiện kinh doanh</t>
  </si>
  <si>
    <t>Hệ thống tạo các thẻ đề xuất cụ thể (đổi khung nhận, giảm số lượng món A, mở túi bất ngờ, gửi chiến dịch đến nhóm có nguy cơ rời) từ kết quả phân tích và quy tắc; mô hình chỉ viết lý do ngắn.</t>
  </si>
  <si>
    <t>Đầu vào: cảnh báo, phân tích, báo cáo
Đầu ra: thẻ đề xuất (hành động, đối tượng, lý do, kết quả kỳ vọng, hạn)</t>
  </si>
  <si>
    <t>1. Hành động thuộc danh mục hệ thống hỗ trợ; AI không tạo hành động mới.
2. Hành động thay đổi dữ liệu chỉ thực hiện sau khi chủ bấm chấp nhận và qua kiểm tra quy tắc (giá sàn, tồn, giới hạn tần suất).
3. Mỗi thẻ có hạn hiệu lực 7 ngày.
Phân tách rõ: số liệu và dữ liệu lấy từ hệ thống; phần diễn đạt do mô hình ngôn ngữ sinh; quyết định do người dùng; hành động chỉ do hệ thống thực hiện sau khi kiểm tra điều kiện.
Hạn mức AI: Pro: 20 thẻ/tháng.
Nhật ký AI lưu: mã yêu cầu, tính năng, phạm vi dữ liệu được truy cập, mô hình, độ trễ, kết quả, phản hồi của người dùng; chỉ người dùng sở hữu và cửa hàng liên quan truy vết được.
Chỉ số đánh giá: tỷ lệ chấp nhận đề xuất, kết quả sau khi thực hiện.</t>
  </si>
  <si>
    <t>Điều kiện không còn thỏa khi chấp nhận: từ chối và nêu lý do.
Lỗi/hết thời gian chờ (10 giây) hoặc hết hạn mức: ẩn thẻ do AI, giữ thẻ theo quy tắc.</t>
  </si>
  <si>
    <t>Hỗ trợ sau mua</t>
  </si>
  <si>
    <t>Thẻ ở trạng thái Chờ chủ; chấp nhận thì tạo hành động tương ứng, từ chối ghi lý do.</t>
  </si>
  <si>
    <t>R1-088 - [AI] Hướng dẫn nhận hàng và theo dõi đơn qua trợ lý</t>
  </si>
  <si>
    <t>Khách hỏi đơn của mình đã sẵn sàng chưa, khi nào nhận, dùng QR thế nào. Trợ lý đọc trạng thái đơn từ hệ thống và trả lời kèm liên kết mở QR hoặc chi tiết đơn.</t>
  </si>
  <si>
    <t>Đầu vào: câu hỏi, mã đơn của chính khách
Dữ liệu: trạng thái đơn, khung nhận, giờ hẹn
Đầu ra: câu trả lời và liên kết</t>
  </si>
  <si>
    <t>1. Chỉ đọc đơn của khách đang đăng nhập.
2. Không thực hiện hủy hay hoàn tiền; chỉ chỉ dẫn.
3. Thông tin giờ và trạng thái lấy trực tiếp từ hệ thống, không do AI suy đoán.
Phân tách rõ: số liệu và dữ liệu lấy từ hệ thống; phần diễn đạt do mô hình ngôn ngữ sinh; quyết định do người dùng; hành động chỉ do hệ thống thực hiện sau khi kiểm tra điều kiện.
Hạn mức AI: Tính vào hạn mức 30 lượt/khách/ngày.
Nhật ký AI lưu: mã yêu cầu, tính năng, phạm vi dữ liệu được truy cập, mô hình, độ trễ, kết quả, phản hồi của người dùng; chỉ người dùng sở hữu và cửa hàng liên quan truy vết được.
Chỉ số đánh giá: tỷ lệ yêu cầu hỗ trợ giảm sau khi dùng trợ lý.</t>
  </si>
  <si>
    <t>R2-115 - [AI] Theo dõi thực hiện và đo kết quả của đề xuất</t>
  </si>
  <si>
    <t>Với mỗi thẻ đã chấp nhận, hệ thống ghi mốc trước, theo dõi chỉ số liên quan trong 7 ngày và báo kết quả so sánh quan sát.</t>
  </si>
  <si>
    <t>Đầu vào: thẻ đã chấp nhận
Chỉ số theo dõi, giá trị trước, giá trị sau, kết luận (Tích cực/Không rõ/Tiêu cực)</t>
  </si>
  <si>
    <t>Đơn không tồn tại hoặc không thuộc khách: từ chối.
Lỗi/hết thời gian chờ (10 giây) hoặc hết hạn mức: hiện trạng thái đơn dạng thông thường.</t>
  </si>
  <si>
    <t>1. Kết luận do quy tắc thống kê xác định, ghi rõ không phải thí nghiệm có đối chứng.
2. Kết quả quay lại cải thiện thứ hạng đề xuất.
3. Thẻ không đủ dữ liệu đánh dấu Chưa kết luận.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đề xuất tích cực, thay đổi chỉ số sau thực hiện.</t>
  </si>
  <si>
    <t>Khách nhận trả lời chính xác và liên kết hành động.</t>
  </si>
  <si>
    <t>Dữ liệu sau 7 ngày chưa đủ: gia hạn theo dõi thêm 7 ngày.
Lỗi/hết thời gian chờ (10 giây) hoặc hết hạn mức: chủ đánh giá thủ công.</t>
  </si>
  <si>
    <t>Kết quả hiển thị trên thẻ và báo cáo hiệu quả đề xuất.</t>
  </si>
  <si>
    <t>R2-032</t>
  </si>
  <si>
    <t>Đóng suất sớm</t>
  </si>
  <si>
    <t>Giải thích quyết định</t>
  </si>
  <si>
    <t>R2-116 - [AI] Giải thích vì sao hệ thống đề xuất số lượng hoặc giá này</t>
  </si>
  <si>
    <t>Chủ bấm Vì sao trên đề xuất dự báo hoặc giá; hệ thống đọc bảng decisions (thành phần điểm) và mô hình diễn đạt lại bằng ngôn ngữ tự nhiên, trả lời thêm câu hỏi tiếp theo.</t>
  </si>
  <si>
    <t>Đầu vào: mã quyết định, câu hỏi thêm
Dữ liệu: thành phần điểm đã lưu
Đầu ra: giải thích</t>
  </si>
  <si>
    <t>1. Giải thích chỉ dùng thành phần đã lưu của quyết định đó, không tạo lý do mới.
2. Quyết định và giá trị không bị AI thay đổi.
3. Giải thích mẫu theo template vẫn hiển thị luôn, phần AI là bổ sung.
Phân tách rõ: số liệu và dữ liệu lấy từ hệ thống; phần diễn đạt do mô hình ngôn ngữ sinh; quyết định do người dùng; hành động chỉ do hệ thống thực hiện sau khi kiểm tra điều kiện.
Hạn mức AI: Tính vào hạn mức Hỏi đáp dữ liệu.
Nhật ký AI lưu: mã yêu cầu, tính năng, phạm vi dữ liệu được truy cập, mô hình, độ trễ, kết quả, phản hồi của người dùng; chỉ người dùng sở hữu và cửa hàng liên quan truy vết được.
Chỉ số đánh giá: tỷ lệ chủ duyệt đề xuất sau khi xem giải thích.</t>
  </si>
  <si>
    <t>R1-089 - [AI] Soạn khiếu nại từ ảnh và mô tả của khách</t>
  </si>
  <si>
    <t>Quyết định không thuộc cửa hàng: từ chối.
Lỗi/hết thời gian chờ (10 giây) hoặc hết hạn mức: hiện câu giải thích từ template.</t>
  </si>
  <si>
    <t>Khách chụp ảnh sản phẩm và mô tả ngắn; mô hình gợi ý loại khiếu nại và viết lại nội dung rõ ràng. Khách đọc, sửa và tự gửi. Hệ thống không tự gửi khiếu nại.</t>
  </si>
  <si>
    <t>Chủ đọc giải thích chi tiết hơn.</t>
  </si>
  <si>
    <t>Đầu vào: ảnh (tối đa 3), mô tả ngắn, mã đơn
Đầu ra: loại gợi ý (Hàng hỏng/Sai món/Thiếu hàng/Khác), bản nháp nội dung</t>
  </si>
  <si>
    <t>1. Chỉ là bản nháp; khách xác nhận mới tạo khiếu nại.
2. AI không kết luận lỗi thuộc về cửa hàng.
3. Ảnh chỉ dùng cho khiếu nại này, không dùng huấn luyện hay lưu ngoài hồ sơ khiếu nại.
4. Điều kiện gửi khiếu nại vẫn là 24 giờ sau giờ nhận.
Phân tách rõ: số liệu và dữ liệu lấy từ hệ thống; phần diễn đạt do mô hình ngôn ngữ sinh; quyết định do người dùng; hành động chỉ do hệ thống thực hiện sau khi kiểm tra điều kiện.
Hạn mức AI: 10 lượt soạn/khách/ngày (tham số).
Nhật ký AI lưu: mã yêu cầu, tính năng, phạm vi dữ liệu được truy cập, mô hình, độ trễ, kết quả, phản hồi của người dùng; chỉ người dùng sở hữu và cửa hàng liên quan truy vết được.
Chỉ số đánh giá: tỷ lệ khách dùng bản nháp, thời gian lập khiếu nại giảm.</t>
  </si>
  <si>
    <t>Soạn nội dung</t>
  </si>
  <si>
    <t>Ảnh không đọc được: bỏ gợi ý, khách tự nhập.
Lỗi/hết thời gian chờ (10 giây) hoặc hết hạn mức: khách nhập tay.</t>
  </si>
  <si>
    <t>R2-117 - [AI] Soạn mô tả món và nội dung thông báo</t>
  </si>
  <si>
    <t>Chủ nhập ý chính hoặc chọn món; mô hình soạn mô tả món hoặc nội dung thông báo chiến dịch theo giọng chọn. Chủ sửa và duyệt; không tự đăng.</t>
  </si>
  <si>
    <t>Biểu mẫu khiếu nại điền sẵn bản nháp.</t>
  </si>
  <si>
    <t>R2-033</t>
  </si>
  <si>
    <t>Đầu vào: ý chính, món hoặc chiến dịch, giọng điệu (Thân thiện/Trang trọng/Ngắn gọn)
Đầu ra: 2-3 bản nháp</t>
  </si>
  <si>
    <t>Hủy suất và hoàn tiền các đơn</t>
  </si>
  <si>
    <t>1. Bản nháp chỉ dùng thông tin chủ cung cấp và dữ liệu món; không bịa thành phần, khuyến mãi hay số liệu.
2. Nội dung qua bộ lọc từ ngữ vi phạm và giới hạn độ dài.
3. Chỉ đăng sau khi chủ bấm xác nhận.
Phân tách rõ: số liệu và dữ liệu lấy từ hệ thống; phần diễn đạt do mô hình ngôn ngữ sinh; quyết định do người dùng; hành động chỉ do hệ thống thực hiện sau khi kiểm tra điều kiện.
Hạn mức AI: Cơ bản 10 lượt/tháng, Pro 200 lượt/tháng.
Nhật ký AI lưu: mã yêu cầu, tính năng, phạm vi dữ liệu được truy cập, mô hình, độ trễ, kết quả, phản hồi của người dùng; chỉ người dùng sở hữu và cửa hàng liên quan truy vết được.
Chỉ số đánh giá: tỷ lệ bản nháp được dùng, thời gian soạn giảm.</t>
  </si>
  <si>
    <t>Thiếu thông tin: yêu cầu bổ sung, không tự điền.
Lỗi/hết thời gian chờ (10 giây) hoặc hết hạn mức: chủ tự nhập nội dung.</t>
  </si>
  <si>
    <t>Bản nháp điền vào biểu mẫu để chủ chọn và sửa.</t>
  </si>
  <si>
    <t>R2-118 - [AI] Gợi ý phản hồi khiếu nại và đánh giá của khách</t>
  </si>
  <si>
    <t>Mô hình soạn bản nháp phản hồi lịch sự dựa trên nội dung khiếu nại hoặc đánh giá; quyết định chấp nhận, từ chối hay hoàn tiền vẫn do chủ.</t>
  </si>
  <si>
    <t>Đầu vào: khiếu nại hoặc đánh giá, giọng điệu
Đầu ra: bản nháp phản hồi</t>
  </si>
  <si>
    <t>Chuyển tiếp hỗ trợ</t>
  </si>
  <si>
    <t>1. AI không quyết định hoàn tiền và không hứa hẹn thay chủ.
2. Bản nháp không nhắc thông tin cá nhân của khách.
3. Chủ phải xác nhận mới gửi.
Phân tách rõ: số liệu và dữ liệu lấy từ hệ thống; phần diễn đạt do mô hình ngôn ngữ sinh; quyết định do người dùng; hành động chỉ do hệ thống thực hiện sau khi kiểm tra điều kiện.
Hạn mức AI: Tính vào hạn mức Soạn nội dung.
Nhật ký AI lưu: mã yêu cầu, tính năng, phạm vi dữ liệu được truy cập, mô hình, độ trễ, kết quả, phản hồi của người dùng; chỉ người dùng sở hữu và cửa hàng liên quan truy vết được.
Chỉ số đánh giá: tỷ lệ dùng bản nháp, thời gian phản hồi trung bình.</t>
  </si>
  <si>
    <t>R1-090 - [AI] Chuyển cuộc trò chuyện cho người hỗ trợ khi AI không đủ khả năng</t>
  </si>
  <si>
    <t>Nội dung khiếu nại độc hại: chỉ hiện nội dung gốc, không soạn.
Lỗi/hết thời gian chờ (10 giây) hoặc hết hạn mức: chủ tự soạn.</t>
  </si>
  <si>
    <t>Bản nháp điền sẵn vào ô phản hồi.</t>
  </si>
  <si>
    <t>Trợ lý nhận ra câu hỏi ngoài phạm vi, khiếu nại phức tạp hoặc khách yêu cầu gặp người thật, rồi tạo yêu cầu hỗ trợ kèm tóm tắt hội thoại để khách không phải kể lại.</t>
  </si>
  <si>
    <t>Đầu vào: hội thoại, mã đơn liên quan
Đầu ra: yêu cầu hỗ trợ (loại, tóm tắt, đính kèm)</t>
  </si>
  <si>
    <t>1. Chuyển tiếp khi khách yêu cầu, khi trợ lý từ chối trả lời hai lần liên tiếp hoặc khi chủ đề thuộc nhóm nhạy cảm (thanh toán, an toàn thực phẩm).
2. Tóm tắt chỉ gửi khi khách đồng ý.
3. Yêu cầu theo luồng Gửi yêu cầu hỗ trợ.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chuyển tiếp, thời gian đến lúc có phản hồi từ người.</t>
  </si>
  <si>
    <t>Khách từ chối chia sẻ hội thoại: tạo yêu cầu không kèm tóm tắt.
Lỗi/hết thời gian chờ (10 giây) hoặc hết hạn mức: tạo yêu cầu hỗ trợ thủ công với nội dung khách nhập.</t>
  </si>
  <si>
    <t>R2-034</t>
  </si>
  <si>
    <t>Hỗ trợ nhập liệu</t>
  </si>
  <si>
    <t>Yêu cầu hỗ trợ được tạo, khách nhận mã tra cứu.</t>
  </si>
  <si>
    <t>Tự động đóng suất hết khung nhận (hệ thống)</t>
  </si>
  <si>
    <t>R2-119 - [AI] Kiểm tra ảnh món trước khi đăng</t>
  </si>
  <si>
    <t>Mô hình xem ảnh và cảnh báo ảnh quá mờ, tối, không giống loại món đã chọn hoặc chứa thông tin nhạy cảm; chủ quyết định dùng hay chụp lại.</t>
  </si>
  <si>
    <t>Đầu vào: ảnh món, loại món đã chọn
Đầu ra: cảnh báo chất lượng (Mờ/Tối/Không khớp/Khác) và mức tin cậy</t>
  </si>
  <si>
    <t>1. Chỉ cảnh báo, không chặn đăng.
2. Ảnh chỉ dùng cho kiểm tra và đăng món, không dùng mục đích khác.
3. Cảnh báo kèm mức tin cậy.
Phân tách rõ: số liệu và dữ liệu lấy từ hệ thống; phần diễn đạt do mô hình ngôn ngữ sinh; quyết định do người dùng; hành động chỉ do hệ thống thực hiện sau khi kiểm tra điều kiện.
Hạn mức AI: Dùng chung hạn mức AI đọc ảnh.
Nhật ký AI lưu: mã yêu cầu, tính năng, phạm vi dữ liệu được truy cập, mô hình, độ trễ, kết quả, phản hồi của người dùng; chỉ người dùng sở hữu và cửa hàng liên quan truy vết được.
Chỉ số đánh giá: tỷ lệ cảnh báo được chủ chấp nhận, tỷ lệ ảnh bị khiếu nại giảm.</t>
  </si>
  <si>
    <t>Ảnh không đọc được: bỏ qua bước kiểm tra.
Lỗi/hết thời gian chờ (10 giây) hoặc hết hạn mức: bỏ kiểm tra, chủ tự đánh giá.</t>
  </si>
  <si>
    <t>Chủ nhận gợi ý chụp lại hoặc xác nhận dùng ảnh.</t>
  </si>
  <si>
    <t>R2-120 - [AI] Đọc hạn dùng từ ảnh nhãn</t>
  </si>
  <si>
    <t>Chủ chụp nhãn hoặc ghi chú hạn dùng; mô hình trích ngày hạn dùng và điền vào suất để chủ xác nhận.</t>
  </si>
  <si>
    <t>R1-091 - [AI] Xem và xóa lịch sử trò chuyện với trợ lý</t>
  </si>
  <si>
    <t>Khách xem các hội thoại đã lưu, xóa từng hội thoại hoặc toàn bộ, và chọn ghi nhớ ngữ cảnh hay không.</t>
  </si>
  <si>
    <t>Đầu vào: ảnh nhãn
Đầu ra: ngày giờ hạn dùng đọc được, mức tin cậy</t>
  </si>
  <si>
    <t>1. Kết quả chỉ điền sẵn; chủ phải xác nhận.
2. Hạn dùng đọc được phải sau khung nhận, nếu không báo lỗi như validation thường.
3. Mức tin cậy thấp thì yêu cầu nhập tay.
Phân tách rõ: số liệu và dữ liệu lấy từ hệ thống; phần diễn đạt do mô hình ngôn ngữ sinh; quyết định do người dùng; hành động chỉ do hệ thống thực hiện sau khi kiểm tra điều kiện.
Hạn mức AI: Dùng chung hạn mức AI đọc ảnh.
Nhật ký AI lưu: mã yêu cầu, tính năng, phạm vi dữ liệu được truy cập, mô hình, độ trễ, kết quả, phản hồi của người dùng; chỉ người dùng sở hữu và cửa hàng liên quan truy vết được.
Chỉ số đánh giá: tỷ lệ chủ xác nhận không sửa, tỷ lệ suất sai hạn dùng.</t>
  </si>
  <si>
    <t>Không đọc được hoặc nhiều ngày mâu thuẫn: yêu cầu nhập tay.
Lỗi/hết thời gian chờ (10 giây) hoặc hết hạn mức: nhập tay.</t>
  </si>
  <si>
    <t>Hiển thị: danh sách hội thoại, thời điểm, tóm tắt
Cờ ghi nhớ ngữ cảnh</t>
  </si>
  <si>
    <t>Trường hạn dùng điền sẵn để xác nhận.</t>
  </si>
  <si>
    <t>1. Xóa hội thoại là xóa vật lý nội dung; giữ bản ghi thống kê ẩn danh.
2. Giữ tối đa 90 ngày.
3. Chỉ khách xem được hội thoại của mình.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khách bật ghi nhớ ngữ cảnh.</t>
  </si>
  <si>
    <t>Hội thoại đã gắn với yêu cầu hỗ trợ đang mở: không xóa phần đã chia sẻ.
Lỗi/hết thời gian chờ (10 giây) hoặc hết hạn mức: không áp dụng, đây là thao tác dữ liệu thông thường.</t>
  </si>
  <si>
    <t>R2-035</t>
  </si>
  <si>
    <t>Xem lịch sử thay đổi của suất</t>
  </si>
  <si>
    <t>R2-121 - Gợi ý tặng phần không bán được cho nơi nhận hỗ trợ</t>
  </si>
  <si>
    <t>Hội thoại bị xóa khỏi tài khoản.</t>
  </si>
  <si>
    <t>Gần cuối khung nhận, hệ thống phát hiện suất còn tồn và nhắc chủ cân nhắc tặng cho tổ chức mà chủ đã lưu; việc tặng do chủ quyết định. Đây là quy tắc xác định, không phải AI tạo sinh.</t>
  </si>
  <si>
    <t>Dữ liệu: tồn còn lại, thời gian còn lại, danh sách nơi nhận do chủ nhập (tên, địa chỉ, liên hệ)
Ghi nhận: số suất tặng, nơi nhận</t>
  </si>
  <si>
    <t>1. Chỉ gợi ý khi còn tối thiểu 3 suất và còn dưới 30 phút.
2. Suất ghi nhận Tặng không tính là bán và không tính hoa hồng.
3. Chỉ tặng hàng còn hạn; chủ chịu trách nhiệm an toàn thực phẩm.
4. Danh sách nơi nhận do chủ tự nhập, nền tảng không xác minh.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số suất được tặng thay vì bỏ.</t>
  </si>
  <si>
    <t>Chưa có nơi nhận: gợi ý thêm nơi nhận.
Lỗi/hết thời gian chờ (10 giây) hoặc hết hạn mức: không gợi ý, chủ ghi nhận thủ công.</t>
  </si>
  <si>
    <t>Ghi nhận suất tặng vào báo cáo tác động riêng với hao hụt.</t>
  </si>
  <si>
    <t>Cấu hình AI</t>
  </si>
  <si>
    <t>R2-122 - Bật tắt từng tính năng AI và cấu hình giọng điệu</t>
  </si>
  <si>
    <t>Chủ bật hoặc tắt từng nhóm tính năng AI, chọn giọng điệu mặc định và quyền dùng AI của nhân viên.</t>
  </si>
  <si>
    <t>Phản hồi chất lượng AI</t>
  </si>
  <si>
    <t>R1-092 - [AI] Đánh giá chất lượng câu trả lời và gợi ý của AI</t>
  </si>
  <si>
    <t>Bật/tắt: trợ lý, tóm tắt tuần, đề xuất hành động, soạn nội dung, đọc ảnh
Giọng điệu mặc định
Quyền AI theo nhóm nhân viên</t>
  </si>
  <si>
    <t>Khách bấm hữu ích hoặc không hữu ích và chọn lý do sau mỗi câu trả lời hoặc gợi ý.</t>
  </si>
  <si>
    <t>1. Chỉ Chủ đổi cấu hình AI.
2. Tắt tính năng không xóa lịch sử đã có.
3. Tính năng ngoài gói bị khóa kể cả khi bật.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cửa hàng bật từng tính năng.</t>
  </si>
  <si>
    <t>Bật tính năng ngoài gói: từ chối.
Lỗi/hết thời gian chờ (10 giây) hoặc hết hạn mức: không áp dụng.</t>
  </si>
  <si>
    <t>Cấu hình lưu; áp dụng ngay.</t>
  </si>
  <si>
    <t>Mã kết quả AI
Đánh giá (Hữu ích/Không hữu ích)
Lý do (Sai thông tin/Không liên quan/Khác)
Ghi chú (0-200)</t>
  </si>
  <si>
    <t>1. Mỗi kết quả chỉ đánh giá một lần, sửa trong 24 giờ.
2. Phản hồi gắn với nhật ký AI để cải thiện nhưng không chứa dữ liệu nhận dạng.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hữu ích, tỷ lệ phản hồi tiêu cực theo lý do.</t>
  </si>
  <si>
    <t>Kết quả không thuộc khách: từ chối.
Lỗi/hết thời gian chờ (10 giây) hoặc hết hạn mức: lưu phản hồi cục bộ và gửi lại khi có mạng.</t>
  </si>
  <si>
    <t>Phản hồi lưu; tính vào chỉ số chất lượng.</t>
  </si>
  <si>
    <t>Quản trị AI</t>
  </si>
  <si>
    <t>R2-123 - Xem mức dùng và hạn mức AI</t>
  </si>
  <si>
    <t>Chủ xem số lượt AI đã dùng theo tính năng và còn lại trong chu kỳ.</t>
  </si>
  <si>
    <t>Hiển thị: tính năng, đã dùng, hạn mức, ngày đặt lại, số lượt bị từ chối</t>
  </si>
  <si>
    <t>Số liệu từ nhật ký AI; hết hạn mức thì tính năng trả thông báo và gợi ý nâng cấp.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lượt bị từ chối vì hết hạn mức.</t>
  </si>
  <si>
    <t>Bảng mức dùng.</t>
  </si>
  <si>
    <t>R1-093 - Nhận thông báo deal vào giờ khách hay mua</t>
  </si>
  <si>
    <t>Hệ thống học giờ khách thường đặt (thống kê đơn đã nhận) và gửi thông báo deal phù hợp vào khoảng đó; đây là thống kê xác định, không dùng mô hình ngôn ngữ.</t>
  </si>
  <si>
    <t>R2-124 - Xem nhật ký AI để truy vết</t>
  </si>
  <si>
    <t>Chủ xem lịch sử các lượt AI của cửa hàng: ai hỏi, tính năng, phạm vi dữ liệu, kết quả và phản hồi.</t>
  </si>
  <si>
    <t>Hiển thị: thời điểm, người dùng, tính năng, tóm tắt đầu vào, kết quả, phản hồi, mã lỗi</t>
  </si>
  <si>
    <t>1. Chỉ Chủ và Quản lý xem.
2. Nhật ký không chứa dữ liệu nhận dạng khách.
3. Giữ 90 ngày, chỉ đọc.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không áp dụng.</t>
  </si>
  <si>
    <t>Khoảng ngày quá 90 ngày: thu hẹp.
Lỗi/hết thời gian chờ (10 giây) hoặc hết hạn mức: không áp dụng.</t>
  </si>
  <si>
    <t>Dữ liệu: giờ đặt các đơn đã nhận, cảnh báo deal đang bật
Đầu ra: khung giờ thông báo ưu tiên</t>
  </si>
  <si>
    <t>Bảng nhật ký AI.</t>
  </si>
  <si>
    <t>R2-036</t>
  </si>
  <si>
    <t>1. Cần ít nhất 5 đơn đã nhận.
2. Chỉ chạy khi khách bật cá nhân hóa và thông báo deal.
3. Tối đa 3 thông báo/ngày và không gửi 22:00-07:00.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mở thông báo, tỷ lệ tắt thông báo.</t>
  </si>
  <si>
    <t>Chưa đủ dữ liệu: dùng khung giờ mặc định 11:00 và 17:00.
Lỗi/hết thời gian chờ (10 giây) hoặc hết hạn mức: dùng giờ mặc định.</t>
  </si>
  <si>
    <t>Xem dự báo số lượng nên làm cho ngày mai</t>
  </si>
  <si>
    <t>Thông báo đến đúng thời điểm khách hay quan tâm.</t>
  </si>
  <si>
    <t>R2-125 - [AI] Đánh giá chất lượng kết quả của AI</t>
  </si>
  <si>
    <t>Chủ đánh dấu kết quả AI là hữu ích hoặc sai kèm lý do để cải thiện.</t>
  </si>
  <si>
    <t>Mã kết quả AI
Đánh giá (Hữu ích/Sai số liệu/Không liên quan/Khác)
Ghi chú (0-200)</t>
  </si>
  <si>
    <t>1. Mỗi kết quả đánh giá một lần, sửa trong 24 giờ.
2. Đánh dấu Sai số liệu tạo cảnh báo nội bộ để kiểm tra kết nối dữ liệu.
Phân tách rõ: số liệu và dữ liệu lấy từ hệ thống; phần diễn đạt do mô hình ngôn ngữ sinh; quyết định do người dùng; hành động chỉ do hệ thống thực hiện sau khi kiểm tra điều kiện.
Hạn mức AI: Không tính hạn mức.
Nhật ký AI lưu: mã yêu cầu, tính năng, phạm vi dữ liệu được truy cập, mô hình, độ trễ, kết quả, phản hồi của người dùng; chỉ người dùng sở hữu và cửa hàng liên quan truy vết được.
Chỉ số đánh giá: tỷ lệ hữu ích, tỷ lệ Sai số liệu.</t>
  </si>
  <si>
    <t>Kết quả không thuộc cửa hàng: từ chối.
Lỗi/hết thời gian chờ (10 giây) hoặc hết hạn mức: lưu phản hồi và gửi lại khi có mạng.</t>
  </si>
  <si>
    <t>R1-094 - [AI] Tóm tắt đánh giá của cửa hàng</t>
  </si>
  <si>
    <t>Mô hình tóm tắt các đánh giá công khai gần đây của một cửa hàng thành vài ý chính (chất lượng, đúng giờ, thái độ), kèm số lượng đánh giá làm căn cứ.</t>
  </si>
  <si>
    <t>Đầu vào: các đánh giá công khai 90 ngày gần nhất của cửa hàng
Đầu ra: tóm tắt, số đánh giá, điểm trung bình (tính bằng hệ thống)</t>
  </si>
  <si>
    <t>1. Chỉ tóm tắt khi có ít nhất 10 đánh giá; điểm trung bình và số lượng do hệ thống tính.
2. Không trích tên khách.
3. Tóm tắt tái tạo mỗi 24 giờ.
Phân tách rõ: số liệu và dữ liệu lấy từ hệ thống; phần diễn đạt do mô hình ngôn ngữ sinh; quyết định do người dùng; hành động chỉ do hệ thống thực hiện sau khi kiểm tra điều kiện.
Hạn mức AI: Tạo theo lịch, không tính hạn mức khách.
Nhật ký AI lưu: mã yêu cầu, tính năng, phạm vi dữ liệu được truy cập, mô hình, độ trễ, kết quả, phản hồi của người dùng; chỉ người dùng sở hữu và cửa hàng liên quan truy vết được.
Chỉ số đánh giá: tỷ lệ khách đọc tóm tắt, độ khớp giữa tóm tắt và phân bố sao.</t>
  </si>
  <si>
    <t>Dưới 10 đánh giá: hiện nhãn Chưa đủ đánh giá, không có tóm tắt.
Lỗi/hết thời gian chờ (10 giây) hoặc hết hạn mức: hiện danh sách đánh giá gần nhất.</t>
  </si>
  <si>
    <t>Đoạn tóm tắt trong trang cửa hàng kèm số đánh giá.</t>
  </si>
  <si>
    <t>Phân tích khách hàng</t>
  </si>
  <si>
    <t>R2-126 - [AI] Đề xuất ưu đãi hoặc chiến dịch phù hợp</t>
  </si>
  <si>
    <t>Dựa trên phân nhóm khách, giờ bán chậm và hàng tồn cuối ngày, hệ thống đề xuất ưu đãi hoặc chiến dịch cụ thể (đối tượng, mức giảm trong giới hạn, thời điểm); mô hình soạn nội dung thông báo. Chủ duyệt trước khi tạo.</t>
  </si>
  <si>
    <t>Đầu vào: phân nhóm khách, bán theo giờ, tồn dự kiến, ngân sách ưu đãi tối đa (chủ đặt)
Đầu ra: đề xuất ưu đãi/chiến dịch và bản nháp</t>
  </si>
  <si>
    <t>1. Mức giảm không vượt ngân sách chủ đặt và không thấp hơn giá sàn.
2. Đối tượng chỉ gồm khách đã đồng ý nhận ưu đãi.
3. Tạo ưu đãi hoặc chiến dịch thật chỉ khi chủ xác nhận và qua đủ kiểm tra tần suất.
Phân tách rõ: số liệu và dữ liệu lấy từ hệ thống; phần diễn đạt do mô hình ngôn ngữ sinh; quyết định do người dùng; hành động chỉ do hệ thống thực hiện sau khi kiểm tra điều kiện.
Hạn mức AI: Pro: 20 đề xuất/tháng.
Nhật ký AI lưu: mã yêu cầu, tính năng, phạm vi dữ liệu được truy cập, mô hình, độ trễ, kết quả, phản hồi của người dùng; chỉ người dùng sở hữu và cửa hàng liên quan truy vết được.
Chỉ số đánh giá: tỷ lệ chấp nhận, doanh thu phát sinh từ chiến dịch so với kỳ trước.</t>
  </si>
  <si>
    <t>Chưa có nhóm khách đủ lớn (dưới 20): chỉ đề xuất ưu đãi công khai.
Lỗi/hết thời gian chờ (10 giây) hoặc hết hạn mức: dùng mẫu ưu đãi dựng sẵn.</t>
  </si>
  <si>
    <t>Đề xuất dạng thẻ; chấp nhận thì sinh bản nháp ưu đãi hoặc chiến dịch.</t>
  </si>
  <si>
    <t>R2-037</t>
  </si>
  <si>
    <t>Xem giải thích dự báo</t>
  </si>
  <si>
    <t>R2-038</t>
  </si>
  <si>
    <t>Chấp nhận hoặc ghi đè số lượng khuyến nghị</t>
  </si>
  <si>
    <t>R2-039</t>
  </si>
  <si>
    <t>Nhập số thực tế cuối ngày</t>
  </si>
  <si>
    <t>R2-040</t>
  </si>
  <si>
    <t>Khai báo sự kiện đặc biệt</t>
  </si>
  <si>
    <t>R2-041</t>
  </si>
  <si>
    <t>Xem độ chính xác dự báo</t>
  </si>
  <si>
    <t>R2-042</t>
  </si>
  <si>
    <t>Xem độ tin cậy dự báo và dự phòng khi dự báo kém</t>
  </si>
  <si>
    <t>R2-043</t>
  </si>
  <si>
    <t>Xem dự báo xu hướng nhu cầu cho tuần tới</t>
  </si>
  <si>
    <t>R2-044</t>
  </si>
  <si>
    <t>Xem đề xuất giá giảm theo giờ</t>
  </si>
  <si>
    <t>R2-045</t>
  </si>
  <si>
    <t>Xem giải thích đề xuất giá</t>
  </si>
  <si>
    <t>R2-046</t>
  </si>
  <si>
    <t>Duyệt đề xuất giá</t>
  </si>
  <si>
    <t>R2-047</t>
  </si>
  <si>
    <t>Từ chối đề xuất hoặc đặt giá thủ công</t>
  </si>
  <si>
    <t>R2-048</t>
  </si>
  <si>
    <t>Xem lịch sử quyết định giá</t>
  </si>
  <si>
    <t>R2-049</t>
  </si>
  <si>
    <t>Xem danh sách đơn của cửa hàng</t>
  </si>
  <si>
    <t>R2-050</t>
  </si>
  <si>
    <t>Lọc, tìm và xuất đơn</t>
  </si>
  <si>
    <t>lần xuất/tháng</t>
  </si>
  <si>
    <t>R2-051</t>
  </si>
  <si>
    <t>R2-052</t>
  </si>
  <si>
    <t>Quét QR xác nhận khách nhận hàng</t>
  </si>
  <si>
    <t>R2-053</t>
  </si>
  <si>
    <t>Hủy đơn do cửa hàng</t>
  </si>
  <si>
    <t>R2-054</t>
  </si>
  <si>
    <t>Xem danh sách và chi tiết khiếu nại</t>
  </si>
  <si>
    <t>R2-055</t>
  </si>
  <si>
    <t>Chấp nhận khiếu nại và hoàn tiền</t>
  </si>
  <si>
    <t>R2-056</t>
  </si>
  <si>
    <t>Từ chối khiếu nại</t>
  </si>
  <si>
    <t>R2-057</t>
  </si>
  <si>
    <t>Xem và phản hồi đánh giá</t>
  </si>
  <si>
    <t>R2-058</t>
  </si>
  <si>
    <t>Báo cáo đánh giá vi phạm</t>
  </si>
  <si>
    <t>R2-059</t>
  </si>
  <si>
    <t>Đề nghị gia hạn thời gian phản hồi khiếu nại</t>
  </si>
  <si>
    <t>R2-060</t>
  </si>
  <si>
    <t>Tự động hoàn tiền khi quá hạn phản hồi khiếu nại (hệ thống)</t>
  </si>
  <si>
    <t>R2-061</t>
  </si>
  <si>
    <t>Xem bảng điều khiển hôm nay</t>
  </si>
  <si>
    <t>R2-062</t>
  </si>
  <si>
    <t>Xem báo cáo hao hụt và thu hồi theo kỳ</t>
  </si>
  <si>
    <t>ngày gần nhất được xem</t>
  </si>
  <si>
    <t>Cuốn chiếu</t>
  </si>
  <si>
    <t>R2-063</t>
  </si>
  <si>
    <t>Xem đối soát doanh thu và hoa hồng</t>
  </si>
  <si>
    <t>R2-064</t>
  </si>
  <si>
    <t>Xuất báo cáo CSV hoặc PDF</t>
  </si>
  <si>
    <t>R2-065</t>
  </si>
  <si>
    <t>Chế độ demo tua nhanh thời gian</t>
  </si>
  <si>
    <t>R2-066</t>
  </si>
  <si>
    <t>Chốt đối soát tuần (hệ thống)</t>
  </si>
  <si>
    <t>R2-067</t>
  </si>
  <si>
    <t>Xem sao kê đối soát tuần đã chốt</t>
  </si>
  <si>
    <t>R2-068</t>
  </si>
  <si>
    <t>Xem báo cáo doanh thu và đơn theo kỳ</t>
  </si>
  <si>
    <t>R2-069</t>
  </si>
  <si>
    <t>Xem báo cáo theo món: bán chạy và hao hụt</t>
  </si>
  <si>
    <t>R2-070</t>
  </si>
  <si>
    <t>Xem phân bố bán hàng theo giờ</t>
  </si>
  <si>
    <t>R2-071</t>
  </si>
  <si>
    <t>Đo hiệu quả đề xuất giá</t>
  </si>
  <si>
    <t>R2-072</t>
  </si>
  <si>
    <t>So sánh hai kỳ</t>
  </si>
  <si>
    <t>R2-073</t>
  </si>
  <si>
    <t>Xem và chia sẻ báo cáo tác động môi trường</t>
  </si>
  <si>
    <t>R2-074</t>
  </si>
  <si>
    <t>Xem và đánh dấu đã đọc thông báo</t>
  </si>
  <si>
    <t>R2-075</t>
  </si>
  <si>
    <t>Xem nhật ký hoạt động cửa hàng</t>
  </si>
  <si>
    <t>R2-076</t>
  </si>
  <si>
    <t>Mời nhân viên vào cửa hàng</t>
  </si>
  <si>
    <t>nhân viên đang hoạt động</t>
  </si>
  <si>
    <t>Không đặt lại (tồn tại)</t>
  </si>
  <si>
    <t>R2-077</t>
  </si>
  <si>
    <t>Xem danh sách và chi tiết nhân viên</t>
  </si>
  <si>
    <t>R2-078</t>
  </si>
  <si>
    <t>Đổi nhóm quyền của nhân viên</t>
  </si>
  <si>
    <t>R2-079</t>
  </si>
  <si>
    <t>Tạm khóa và mở khóa nhân viên</t>
  </si>
  <si>
    <t>R2-080</t>
  </si>
  <si>
    <t>Gỡ nhân viên khỏi cửa hàng</t>
  </si>
  <si>
    <t>R2-081</t>
  </si>
  <si>
    <t>Xem hoạt động của từng nhân viên</t>
  </si>
  <si>
    <t>R2-082</t>
  </si>
  <si>
    <t>Xem danh sách khách đã mua</t>
  </si>
  <si>
    <t>R2-083</t>
  </si>
  <si>
    <t>Xem lịch sử mua của một khách</t>
  </si>
  <si>
    <t>R2-084</t>
  </si>
  <si>
    <t>Xem phân nhóm khách theo quy tắc</t>
  </si>
  <si>
    <t>R2-085</t>
  </si>
  <si>
    <t>Ghi chú nội bộ về khách</t>
  </si>
  <si>
    <t>R2-086</t>
  </si>
  <si>
    <t>Xem số khách yêu thích cửa hàng</t>
  </si>
  <si>
    <t>R2-087</t>
  </si>
  <si>
    <t>Xem khách thường không đến nhận</t>
  </si>
  <si>
    <t>R2-088</t>
  </si>
  <si>
    <t>Tạo ưu đãi cho khách</t>
  </si>
  <si>
    <t>ưu đãi đang chạy cùng lúc</t>
  </si>
  <si>
    <t>R2-089</t>
  </si>
  <si>
    <t>Xem danh sách và hiệu quả ưu đãi</t>
  </si>
  <si>
    <t>R2-090</t>
  </si>
  <si>
    <t>Sửa, tạm dừng hoặc kết thúc ưu đãi</t>
  </si>
  <si>
    <t>R2-091</t>
  </si>
  <si>
    <t>Tạo túi bất ngờ để bán hết hàng cuối ngày</t>
  </si>
  <si>
    <t>R2-092</t>
  </si>
  <si>
    <t>Tạo chiến dịch thông báo đến khách yêu thích</t>
  </si>
  <si>
    <t>chiến dịch/tháng</t>
  </si>
  <si>
    <t>R2-093</t>
  </si>
  <si>
    <t>Hủy hoặc đổi lịch chiến dịch</t>
  </si>
  <si>
    <t>R2-094</t>
  </si>
  <si>
    <t>Xem hiệu quả chiến dịch thông báo</t>
  </si>
  <si>
    <t>R2-095</t>
  </si>
  <si>
    <t>Xem bảng việc cần làm hôm nay</t>
  </si>
  <si>
    <t>R2-096</t>
  </si>
  <si>
    <t>Cấu hình nhắc việc</t>
  </si>
  <si>
    <t>R2-097</t>
  </si>
  <si>
    <t>Khai báo ngày nghỉ và giờ mở cửa đặc biệt</t>
  </si>
  <si>
    <t>R2-098</t>
  </si>
  <si>
    <t>Xem lịch hẹn nhận hàng trong ngày</t>
  </si>
  <si>
    <t>R2-099</t>
  </si>
  <si>
    <t>Xem cảnh báo dữ liệu thiếu hoặc bất thường</t>
  </si>
  <si>
    <t>R2-100</t>
  </si>
  <si>
    <t>Cập nhật hàng loạt thuộc tính món</t>
  </si>
  <si>
    <t>R2-101</t>
  </si>
  <si>
    <t>Thiết lập quy tắc kinh doanh của cửa hàng</t>
  </si>
  <si>
    <t>R2-102</t>
  </si>
  <si>
    <t>Xem lịch sử thay đổi cấu hình</t>
  </si>
  <si>
    <t>R2-103</t>
  </si>
  <si>
    <t>Xuất toàn bộ dữ liệu cửa hàng</t>
  </si>
  <si>
    <t>R2-104</t>
  </si>
  <si>
    <t>Chạy mô phỏng chính sách giá trên dữ liệu lịch sử</t>
  </si>
  <si>
    <t>R2-105</t>
  </si>
  <si>
    <t>Xem và so sánh kết quả mô phỏng</t>
  </si>
  <si>
    <t>R2-106</t>
  </si>
  <si>
    <t>Gửi yêu cầu hỗ trợ cho nền tảng</t>
  </si>
  <si>
    <t>R2-107</t>
  </si>
  <si>
    <t>R2-108</t>
  </si>
  <si>
    <t>[AI] Hỏi đáp dữ liệu kinh doanh bằng ngôn ngữ tự nhiên</t>
  </si>
  <si>
    <t>lượt hỏi/tháng (dùng chung với trò chuyện trợ lý)</t>
  </si>
  <si>
    <t>R2-109</t>
  </si>
  <si>
    <t>[AI] Trò chuyện với trợ lý cửa hàng nhiều lượt</t>
  </si>
  <si>
    <t>lượt hỏi/tháng (dùng chung với hỏi đáp dữ liệu)</t>
  </si>
  <si>
    <t>R2-110</t>
  </si>
  <si>
    <t>R2-111</t>
  </si>
  <si>
    <t>[AI] Tóm tắt và giải thích báo cáo tuần</t>
  </si>
  <si>
    <t>R2-112</t>
  </si>
  <si>
    <t>Phát hiện biến động bất thường của doanh thu, đơn và hao hụt</t>
  </si>
  <si>
    <t>R2-113</t>
  </si>
  <si>
    <t>[AI] Phân tích nguyên nhân có thể của một biến động</t>
  </si>
  <si>
    <t>R2-114</t>
  </si>
  <si>
    <t>[AI] Đề xuất hành động cải thiện kinh doanh</t>
  </si>
  <si>
    <t>R2-115</t>
  </si>
  <si>
    <t>[AI] Theo dõi thực hiện và đo kết quả của đề xuất</t>
  </si>
  <si>
    <t>R2-116</t>
  </si>
  <si>
    <t>[AI] Giải thích vì sao hệ thống đề xuất số lượng hoặc giá này</t>
  </si>
  <si>
    <t>R2-117</t>
  </si>
  <si>
    <t>[AI] Soạn mô tả món và nội dung thông báo</t>
  </si>
  <si>
    <t>lượt soạn/tháng (dùng chung với gợi ý phản hồi)</t>
  </si>
  <si>
    <t>R2-118</t>
  </si>
  <si>
    <t>[AI] Gợi ý phản hồi khiếu nại và đánh giá của khách</t>
  </si>
  <si>
    <t>lượt soạn/tháng (dùng chung với soạn nội dung)</t>
  </si>
  <si>
    <t>R2-119</t>
  </si>
  <si>
    <t>[AI] Kiểm tra ảnh món trước khi đăng</t>
  </si>
  <si>
    <t>lượt/tháng (dùng chung hạn mức AI đọc ảnh)</t>
  </si>
  <si>
    <t>R2-120</t>
  </si>
  <si>
    <t>[AI] Đọc hạn dùng từ ảnh nhãn</t>
  </si>
  <si>
    <t>R2-121</t>
  </si>
  <si>
    <t>Gợi ý tặng phần không bán được cho nơi nhận hỗ trợ</t>
  </si>
  <si>
    <t>R2-122</t>
  </si>
  <si>
    <t>Bật tắt từng tính năng AI và cấu hình giọng điệu</t>
  </si>
  <si>
    <t>R2-123</t>
  </si>
  <si>
    <t>Xem mức dùng và hạn mức AI</t>
  </si>
  <si>
    <t>R2-124</t>
  </si>
  <si>
    <t>Xem nhật ký AI để truy vết</t>
  </si>
  <si>
    <t>R2-125</t>
  </si>
  <si>
    <t>[AI] Đánh giá chất lượng kết quả của AI</t>
  </si>
  <si>
    <t>R2-126</t>
  </si>
  <si>
    <t>[AI] Đề xuất ưu đãi hoặc chiến dịch phù hợp</t>
  </si>
  <si>
    <t>PHẦN C - QUY TẮC VÒNG ĐỜI GÓI DỊCH VỤ</t>
  </si>
  <si>
    <t>Mã quy tắc</t>
  </si>
  <si>
    <t>Tình huống</t>
  </si>
  <si>
    <t>Điều kiện kích hoạt</t>
  </si>
  <si>
    <t>Quy tắc xử lý</t>
  </si>
  <si>
    <t>Thời điểm hiệu lực</t>
  </si>
  <si>
    <t>Xử lý quyền lợi và dữ liệu</t>
  </si>
  <si>
    <t>Ngoại lệ</t>
  </si>
  <si>
    <t>VC-01</t>
  </si>
  <si>
    <t>Đăng ký gói lần đầu</t>
  </si>
  <si>
    <t>Chủ đăng ký và xác minh email</t>
  </si>
  <si>
    <t>Cửa hàng vào gói Cơ bản và tự kích hoạt gói Pro dùng thử 1 tháng, một lần cho mỗi cửa hàng.</t>
  </si>
  <si>
    <t>Ngay khi xác minh email</t>
  </si>
  <si>
    <t>Mở quyền Pro trong thời gian dùng thử.</t>
  </si>
  <si>
    <t>Email và thông báo web: ngày hết dùng thử.</t>
  </si>
  <si>
    <t>Email đã dùng thử ở cửa hàng khác: chỉ vào Cơ bản.</t>
  </si>
  <si>
    <t>VC-02</t>
  </si>
  <si>
    <t>Kích hoạt gói trả phí</t>
  </si>
  <si>
    <t>Thanh toán gói Pro thành công</t>
  </si>
  <si>
    <t>Kỳ 30 ngày bắt đầu tại thời điểm hệ thống xác nhận thanh toán; nếu đang dùng thử thì bắt đầu ngay, thời gian dùng thử còn lại không cộng thêm.</t>
  </si>
  <si>
    <t>Ngay khi xác nhận thanh toán</t>
  </si>
  <si>
    <t>Mở quyền Pro đến cuối kỳ.</t>
  </si>
  <si>
    <t>Thông báo kích hoạt kèm ngày hết hạn.</t>
  </si>
  <si>
    <t>Thanh toán chưa xác định: xem VC-07.</t>
  </si>
  <si>
    <t>VC-03</t>
  </si>
  <si>
    <t>Gia hạn</t>
  </si>
  <si>
    <t>Chủ thanh toán gói Pro trước hoặc sau ngày hết hạn</t>
  </si>
  <si>
    <t>Không tự động gia hạn trong MVP. Gia hạn trước hạn: kỳ mới nối tiếp kỳ cũ. Gia hạn sau hạn: kỳ mới bắt đầu từ lúc thanh toán.</t>
  </si>
  <si>
    <t>Khi xác nhận thanh toán</t>
  </si>
  <si>
    <t>Giữ quyền Pro liên tục nếu gia hạn trước hạn.</t>
  </si>
  <si>
    <t>Nhắc trước hạn 7 ngày và 1 ngày.</t>
  </si>
  <si>
    <t>Không gia hạn: xem VC-06.</t>
  </si>
  <si>
    <t>VC-04</t>
  </si>
  <si>
    <t>Gia hạn thất bại</t>
  </si>
  <si>
    <t>Thanh toán lỗi hoặc bị từ chối</t>
  </si>
  <si>
    <t>Không đổi trạng thái gói; cho thử lại trước hạn; sau hạn chuyển theo VC-06.</t>
  </si>
  <si>
    <t>Tức thì</t>
  </si>
  <si>
    <t>Quyền lợi giữ đến hết kỳ hiện tại.</t>
  </si>
  <si>
    <t>Thông báo thanh toán thất bại và hướng dẫn thử lại.</t>
  </si>
  <si>
    <t>Lỗi cổng nhiều lần: đưa vào đối soát thủ công.</t>
  </si>
  <si>
    <t>VC-05</t>
  </si>
  <si>
    <t>Nâng cấp, hạ cấp</t>
  </si>
  <si>
    <t>Chủ chọn gói khác</t>
  </si>
  <si>
    <t>Nâng cấp Cơ bản lên Pro có hiệu lực ngay. Hạ cấp Pro về Cơ bản có hiệu lực cuối kỳ đã trả; không hoàn phí phần còn lại.</t>
  </si>
  <si>
    <t>Nâng cấp: ngay. Hạ cấp: cuối kỳ</t>
  </si>
  <si>
    <t>Khi hạ cấp, các suất vượt hạn mức Cơ bản không bị xóa nhưng không tạo thêm được đến khi dưới hạn mức.</t>
  </si>
  <si>
    <t>Thông báo xác nhận và ngày hiệu lực.</t>
  </si>
  <si>
    <t>Đang có đề xuất giá chờ duyệt khi hạ cấp: tự hết hiệu lực.</t>
  </si>
  <si>
    <t>VC-06</t>
  </si>
  <si>
    <t>Gói hết hạn</t>
  </si>
  <si>
    <t>Quá ngày hết hạn mà chưa gia hạn</t>
  </si>
  <si>
    <t>Tự chuyển về gói Cơ bản.</t>
  </si>
  <si>
    <t>00:00 ngày kế tiếp ngày hết hạn</t>
  </si>
  <si>
    <t>Tính năng Pro bị khóa; dữ liệu cũ chỉ xem; chế độ giá tự động tắt; suất đang mở và đơn đã nhận giữ nguyên.</t>
  </si>
  <si>
    <t>Thông báo gói đã hết hạn.</t>
  </si>
  <si>
    <t>VC-07</t>
  </si>
  <si>
    <t>Giao dịch chưa xác định kết quả</t>
  </si>
  <si>
    <t>Cổng trả về trạng thái chờ hoặc không phản hồi</t>
  </si>
  <si>
    <t>Giao dịch ở trạng thái Chờ xác nhận tối đa 24 giờ, tự truy vấn lại mỗi 15 phút; không cấp quyền lợi cho đến khi xác nhận thành công.</t>
  </si>
  <si>
    <t>Khi xác nhận thành công</t>
  </si>
  <si>
    <t>Chưa mở quyền Pro trong thời gian chờ.</t>
  </si>
  <si>
    <t>Thông báo đang xử lý, sau đó thông báo kết quả.</t>
  </si>
  <si>
    <t>Quá 24 giờ chưa xác nhận: đóng giao dịch là Thất bại và hoàn tiền nếu tiền đã vào.</t>
  </si>
  <si>
    <t>VC-08</t>
  </si>
  <si>
    <t>Hủy gói</t>
  </si>
  <si>
    <t>Chủ chọn hủy gói Pro</t>
  </si>
  <si>
    <t>Hủy chỉ tắt gia hạn; quyền lợi giữ đến hết kỳ đã trả; không hoàn phí phần còn lại.</t>
  </si>
  <si>
    <t>Quyền lợi dừng cuối kỳ</t>
  </si>
  <si>
    <t>Theo VC-06 khi hết kỳ.</t>
  </si>
  <si>
    <t>Thông báo xác nhận hủy và ngày dừng quyền.</t>
  </si>
  <si>
    <t>Hủy trong kỳ dùng thử: dừng ngay khi chủ yêu cầu.</t>
  </si>
  <si>
    <t>VC-09</t>
  </si>
  <si>
    <t>Hoàn tiền phí gói</t>
  </si>
  <si>
    <t>Lỗi hệ thống làm gói không được kích hoạt hoặc thanh toán trùng</t>
  </si>
  <si>
    <t>Hoàn đủ số tiền bị trừ sai; thanh toán đúng và đã sử dụng quyền lợi không hoàn.</t>
  </si>
  <si>
    <t>Sau khi đối soát xác nhận</t>
  </si>
  <si>
    <t>Nếu hoàn toàn bộ kỳ thì thu hồi quyền Pro của kỳ đó.</t>
  </si>
  <si>
    <t>Thông báo hoàn tiền.</t>
  </si>
  <si>
    <t>Chính sách hoàn tiền cuối cùng cần đối chiếu quy định tiêu dùng (chưa tra cứu); mặc định như trên.</t>
  </si>
  <si>
    <t>VC-10</t>
  </si>
  <si>
    <t>Đối soát và chống ghi nhận trùng</t>
  </si>
  <si>
    <t>Mỗi giao dịch thanh toán gói</t>
  </si>
  <si>
    <t>Mỗi mã giao dịch của cổng chỉ ghi nhận một lần (khóa duy nhất); đối soát hằng ngày giữa cổng và sổ giao dịch; chênh lệch gắn cờ.</t>
  </si>
  <si>
    <t>Thanh toán trùng: giữ một, hoàn phần còn lại theo VC-09.</t>
  </si>
  <si>
    <t>Không gửi cho chủ trừ khi có hoàn tiền.</t>
  </si>
  <si>
    <t>Số tiền sai: chuyển đối soát thủ công.</t>
  </si>
  <si>
    <t>VC-11</t>
  </si>
  <si>
    <t>Quyền lợi phát sinh trước khi hết hạn</t>
  </si>
  <si>
    <t>Gói về Cơ bản khi còn dữ liệu Pro</t>
  </si>
  <si>
    <t>Giữ nguyên các suất đã mở, đơn, sao kê và lịch sử quyết định giá; không tạo mới dự báo hoặc đề xuất giá; báo cáo hao hụt giới hạn theo 7 ngày gần nhất nhưng sao kê đối soát vẫn xem toàn bộ.</t>
  </si>
  <si>
    <t>Từ lúc hết hạn</t>
  </si>
  <si>
    <t>Dữ liệu không bị xóa; mở lại khi nâng cấp.</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</si>
</sst>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4.0"/>
      <color theme="1"/>
      <name val="Times New Roman"/>
    </font>
    <font>
      <color theme="1"/>
      <name val="Calibri"/>
      <scheme val="minor"/>
    </font>
    <font>
      <sz val="14.0"/>
      <color theme="1"/>
      <name val="Times New Roman"/>
    </font>
    <font>
      <b/>
      <sz val="13.0"/>
      <color rgb="FFFFFFFF"/>
      <name val="Times New Roman"/>
    </font>
    <font>
      <b/>
      <sz val="14.0"/>
      <color rgb="FFFFFFFF"/>
      <name val="Times New Roman"/>
    </font>
    <font>
      <b/>
      <sz val="13.0"/>
      <color rgb="FF1F4E79"/>
      <name val="Times New Roman"/>
    </font>
    <font>
      <sz val="13.0"/>
      <color theme="1"/>
      <name val="Times New Roman"/>
    </font>
    <font>
      <sz val="12.0"/>
      <color theme="1"/>
      <name val="Times New Roman"/>
    </font>
    <font>
      <b/>
      <sz val="12.0"/>
      <color rgb="FF335972"/>
      <name val="Times New Roman"/>
    </font>
    <font/>
    <font>
      <b/>
      <sz val="12.0"/>
      <color rgb="FF147F3D"/>
      <name val="Times New Roman"/>
    </font>
    <font>
      <b/>
      <sz val="12.0"/>
      <color rgb="FFB2540A"/>
      <name val="Times New Roman"/>
    </font>
    <font>
      <b/>
      <sz val="12.0"/>
      <color rgb="FFB71C1C"/>
      <name val="Times New Roman"/>
    </font>
    <font>
      <b/>
      <sz val="12.0"/>
      <color rgb="FF1C355B"/>
      <name val="Times New Roman"/>
    </font>
    <font>
      <i/>
      <sz val="12.0"/>
      <color rgb="FF59728C"/>
      <name val="Times New Roman"/>
    </font>
    <font>
      <i/>
      <sz val="12.0"/>
      <color rgb="FF147F3D"/>
      <name val="Times New Roman"/>
    </font>
    <font>
      <i/>
      <sz val="12.0"/>
      <color rgb="FFB2540A"/>
      <name val="Times New Roman"/>
    </font>
    <font>
      <i/>
      <sz val="12.0"/>
      <color rgb="FFB71C1C"/>
      <name val="Times New Roman"/>
    </font>
    <font>
      <b/>
      <sz val="12.0"/>
      <color rgb="FFFFFFFF"/>
      <name val="Times New Roman"/>
    </font>
    <font>
      <b/>
      <sz val="12.0"/>
      <color theme="1"/>
      <name val="Times New Roman"/>
    </font>
  </fonts>
  <fills count="9">
    <fill>
      <patternFill patternType="none"/>
    </fill>
    <fill>
      <patternFill patternType="lightGray"/>
    </fill>
    <fill>
      <patternFill patternType="solid">
        <fgColor rgb="FFCFE2F3"/>
        <bgColor rgb="FFCFE2F3"/>
      </patternFill>
    </fill>
    <fill>
      <patternFill patternType="solid">
        <fgColor rgb="FF1F4E79"/>
        <bgColor rgb="FF1F4E79"/>
      </patternFill>
    </fill>
    <fill>
      <patternFill patternType="solid">
        <fgColor rgb="FFEFF4F9"/>
        <bgColor rgb="FFEFF4F9"/>
      </patternFill>
    </fill>
    <fill>
      <patternFill patternType="solid">
        <fgColor rgb="FFEFFCF2"/>
        <bgColor rgb="FFEFFCF2"/>
      </patternFill>
    </fill>
    <fill>
      <patternFill patternType="solid">
        <fgColor rgb="FFFFF9EA"/>
        <bgColor rgb="FFFFF9EA"/>
      </patternFill>
    </fill>
    <fill>
      <patternFill patternType="solid">
        <fgColor rgb="FFFFF2F2"/>
        <bgColor rgb="FFFFF2F2"/>
      </patternFill>
    </fill>
    <fill>
      <patternFill patternType="solid">
        <fgColor rgb="FF1B365D"/>
        <bgColor rgb="FF1B365D"/>
      </patternFill>
    </fill>
  </fills>
  <borders count="36">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99B2CC"/>
      </left>
      <top style="thin">
        <color rgb="FF99B2CC"/>
      </top>
      <bottom style="thin">
        <color rgb="FFCCD8E5"/>
      </bottom>
    </border>
    <border>
      <right style="thin">
        <color rgb="FF99B2CC"/>
      </right>
      <top style="thin">
        <color rgb="FF99B2CC"/>
      </top>
      <bottom style="thin">
        <color rgb="FFCCD8E5"/>
      </bottom>
    </border>
    <border>
      <left style="thin">
        <color rgb="FFA5D8B2"/>
      </left>
      <top style="thin">
        <color rgb="FFA5D8B2"/>
      </top>
      <bottom style="thin">
        <color rgb="FFBFE5CC"/>
      </bottom>
    </border>
    <border>
      <right style="thin">
        <color rgb="FFA5D8B2"/>
      </right>
      <top style="thin">
        <color rgb="FFA5D8B2"/>
      </top>
      <bottom style="thin">
        <color rgb="FFBFE5CC"/>
      </bottom>
    </border>
    <border>
      <left style="thin">
        <color rgb="FFE5CCA5"/>
      </left>
      <top style="thin">
        <color rgb="FFE5CCA5"/>
      </top>
      <bottom style="thin">
        <color rgb="FFF2D8BF"/>
      </bottom>
    </border>
    <border>
      <right style="thin">
        <color rgb="FFE5CCA5"/>
      </right>
      <top style="thin">
        <color rgb="FFE5CCA5"/>
      </top>
      <bottom style="thin">
        <color rgb="FFF2D8BF"/>
      </bottom>
    </border>
    <border>
      <left style="thin">
        <color rgb="FFE5B2BF"/>
      </left>
      <top style="thin">
        <color rgb="FFE5B2BF"/>
      </top>
      <bottom style="thin">
        <color rgb="FFF2CCD8"/>
      </bottom>
    </border>
    <border>
      <right style="thin">
        <color rgb="FFE5B2BF"/>
      </right>
      <top style="thin">
        <color rgb="FFE5B2BF"/>
      </top>
      <bottom style="thin">
        <color rgb="FFF2CCD8"/>
      </bottom>
    </border>
    <border>
      <left style="thin">
        <color rgb="FF99B2CC"/>
      </left>
      <top style="thin">
        <color rgb="FFCCD8E5"/>
      </top>
      <bottom style="thin">
        <color rgb="FFCCD8E5"/>
      </bottom>
    </border>
    <border>
      <right style="thin">
        <color rgb="FF99B2CC"/>
      </right>
      <top style="thin">
        <color rgb="FFCCD8E5"/>
      </top>
      <bottom style="thin">
        <color rgb="FFCCD8E5"/>
      </bottom>
    </border>
    <border>
      <left style="thin">
        <color rgb="FFA5D8B2"/>
      </left>
      <top style="thin">
        <color rgb="FFBFE5CC"/>
      </top>
      <bottom style="thin">
        <color rgb="FFBFE5CC"/>
      </bottom>
    </border>
    <border>
      <right style="thin">
        <color rgb="FFA5D8B2"/>
      </right>
      <top style="thin">
        <color rgb="FFBFE5CC"/>
      </top>
      <bottom style="thin">
        <color rgb="FFBFE5CC"/>
      </bottom>
    </border>
    <border>
      <left style="thin">
        <color rgb="FFE5CCA5"/>
      </left>
      <top style="thin">
        <color rgb="FFF2D8BF"/>
      </top>
      <bottom style="thin">
        <color rgb="FFF2D8BF"/>
      </bottom>
    </border>
    <border>
      <right style="thin">
        <color rgb="FFE5CCA5"/>
      </right>
      <top style="thin">
        <color rgb="FFF2D8BF"/>
      </top>
      <bottom style="thin">
        <color rgb="FFF2D8BF"/>
      </bottom>
    </border>
    <border>
      <left style="thin">
        <color rgb="FFE5B2BF"/>
      </left>
      <top style="thin">
        <color rgb="FFF2CCD8"/>
      </top>
      <bottom style="thin">
        <color rgb="FFF2CCD8"/>
      </bottom>
    </border>
    <border>
      <right style="thin">
        <color rgb="FFE5B2BF"/>
      </right>
      <top style="thin">
        <color rgb="FFF2CCD8"/>
      </top>
      <bottom style="thin">
        <color rgb="FFF2CCD8"/>
      </bottom>
    </border>
    <border>
      <left style="thin">
        <color rgb="FF99B2CC"/>
      </left>
      <top style="thin">
        <color rgb="FFCCD8E5"/>
      </top>
      <bottom style="thin">
        <color rgb="FF99B2CC"/>
      </bottom>
    </border>
    <border>
      <right style="thin">
        <color rgb="FF99B2CC"/>
      </right>
      <top style="thin">
        <color rgb="FFCCD8E5"/>
      </top>
      <bottom style="thin">
        <color rgb="FF99B2CC"/>
      </bottom>
    </border>
    <border>
      <left style="thin">
        <color rgb="FFA5D8B2"/>
      </left>
      <top style="thin">
        <color rgb="FFBFE5CC"/>
      </top>
      <bottom style="thin">
        <color rgb="FFA5D8B2"/>
      </bottom>
    </border>
    <border>
      <right style="thin">
        <color rgb="FFA5D8B2"/>
      </right>
      <top style="thin">
        <color rgb="FFBFE5CC"/>
      </top>
      <bottom style="thin">
        <color rgb="FFA5D8B2"/>
      </bottom>
    </border>
    <border>
      <left style="thin">
        <color rgb="FFE5CCA5"/>
      </left>
      <top style="thin">
        <color rgb="FFF2D8BF"/>
      </top>
      <bottom style="thin">
        <color rgb="FFE5CCA5"/>
      </bottom>
    </border>
    <border>
      <right style="thin">
        <color rgb="FFE5CCA5"/>
      </right>
      <top style="thin">
        <color rgb="FFF2D8BF"/>
      </top>
      <bottom style="thin">
        <color rgb="FFE5CCA5"/>
      </bottom>
    </border>
    <border>
      <left style="thin">
        <color rgb="FFE5B2BF"/>
      </left>
      <top style="thin">
        <color rgb="FFF2CCD8"/>
      </top>
      <bottom style="thin">
        <color rgb="FFE5B2BF"/>
      </bottom>
    </border>
    <border>
      <right style="thin">
        <color rgb="FFE5B2BF"/>
      </right>
      <top style="thin">
        <color rgb="FFF2CCD8"/>
      </top>
      <bottom style="thin">
        <color rgb="FFE5B2BF"/>
      </bottom>
    </border>
    <border>
      <left style="thin">
        <color rgb="FFCCCCCC"/>
      </left>
      <right style="thin">
        <color rgb="FFE0E0E0"/>
      </right>
      <top style="thin">
        <color rgb="FFCCCCCC"/>
      </top>
      <bottom style="thin">
        <color rgb="FFE0E0E0"/>
      </bottom>
    </border>
    <border>
      <left style="thin">
        <color rgb="FFE0E0E0"/>
      </left>
      <right style="thin">
        <color rgb="FFE0E0E0"/>
      </right>
      <top style="thin">
        <color rgb="FFCCCCCC"/>
      </top>
      <bottom style="thin">
        <color rgb="FFE0E0E0"/>
      </bottom>
    </border>
    <border>
      <left style="thin">
        <color rgb="FFE0E0E0"/>
      </left>
      <right style="thin">
        <color rgb="FFCCCCCC"/>
      </right>
      <top style="thin">
        <color rgb="FFCCCCCC"/>
      </top>
      <bottom style="thin">
        <color rgb="FFE0E0E0"/>
      </bottom>
    </border>
    <border>
      <left style="thin">
        <color rgb="FFCCCCCC"/>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CCCCCC"/>
      </right>
      <top style="thin">
        <color rgb="FFE0E0E0"/>
      </top>
      <bottom style="thin">
        <color rgb="FFE0E0E0"/>
      </bottom>
    </border>
    <border>
      <left style="thin">
        <color rgb="FFCCCCCC"/>
      </left>
      <right style="thin">
        <color rgb="FFE0E0E0"/>
      </right>
      <top style="thin">
        <color rgb="FFE0E0E0"/>
      </top>
      <bottom style="thin">
        <color rgb="FFCCCCCC"/>
      </bottom>
    </border>
    <border>
      <left style="thin">
        <color rgb="FFE0E0E0"/>
      </left>
      <right style="thin">
        <color rgb="FFE0E0E0"/>
      </right>
      <top style="thin">
        <color rgb="FFE0E0E0"/>
      </top>
      <bottom style="thin">
        <color rgb="FFCCCCCC"/>
      </bottom>
    </border>
    <border>
      <left style="thin">
        <color rgb="FFE0E0E0"/>
      </left>
      <right style="thin">
        <color rgb="FFCCCCCC"/>
      </right>
      <top style="thin">
        <color rgb="FFE0E0E0"/>
      </top>
      <bottom style="thin">
        <color rgb="FFCCCCCC"/>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0" fontId="2" numFmtId="0" xfId="0" applyAlignment="1" applyFont="1">
      <alignment shrinkToFit="0" wrapText="1"/>
    </xf>
    <xf borderId="1" fillId="0" fontId="3" numFmtId="0" xfId="0" applyAlignment="1" applyBorder="1" applyFont="1">
      <alignment horizontal="center" readingOrder="0" shrinkToFit="0" wrapText="1"/>
    </xf>
    <xf borderId="1" fillId="0" fontId="3" numFmtId="0" xfId="0" applyAlignment="1" applyBorder="1" applyFont="1">
      <alignment readingOrder="0" shrinkToFit="0" wrapText="1"/>
    </xf>
    <xf borderId="2" fillId="3" fontId="4" numFmtId="0" xfId="0" applyAlignment="1" applyBorder="1" applyFill="1" applyFont="1">
      <alignment horizontal="center" readingOrder="0" shrinkToFit="0" vertical="center" wrapText="1"/>
    </xf>
    <xf borderId="2" fillId="3" fontId="5" numFmtId="0" xfId="0" applyAlignment="1" applyBorder="1" applyFill="1" applyFont="1">
      <alignment horizontal="center" readingOrder="0" shrinkToFit="0" vertical="center" wrapText="1"/>
    </xf>
    <xf borderId="0" fillId="0" fontId="6" numFmtId="0" xfId="0" applyFont="1"/>
    <xf borderId="0" fillId="0" fontId="7" numFmtId="0" xfId="0" applyFont="1"/>
    <xf borderId="0" fillId="3" fontId="5" numFmtId="0" xfId="0" applyAlignment="1" applyFill="1" applyFont="1">
      <alignment horizontal="center" readingOrder="0" shrinkToFit="0" vertical="center" wrapText="1"/>
    </xf>
    <xf borderId="0" fillId="3" fontId="5" numFmtId="49" xfId="0" applyAlignment="1" applyFill="1" applyFont="1" applyNumberFormat="1">
      <alignment horizontal="center" readingOrder="0" shrinkToFit="0" vertical="center" wrapText="1"/>
    </xf>
    <xf borderId="0" fillId="0" fontId="7" numFmtId="0" xfId="0" applyAlignment="1" applyFont="1">
      <alignment readingOrder="0"/>
    </xf>
    <xf borderId="2" fillId="0" fontId="3" numFmtId="0" xfId="0" applyAlignment="1" applyBorder="1" applyFont="1">
      <alignment horizontal="center" shrinkToFit="0" vertical="top" wrapText="1"/>
    </xf>
    <xf borderId="2" fillId="0" fontId="7" numFmtId="0" xfId="0" applyAlignment="1" applyBorder="1" applyFont="1">
      <alignment shrinkToFit="0" vertical="top" wrapText="1"/>
    </xf>
    <xf borderId="2" fillId="0" fontId="7" numFmtId="0" xfId="0" applyAlignment="1" applyBorder="1" applyFont="1">
      <alignment horizontal="center" shrinkToFit="0" vertical="top" wrapText="1"/>
    </xf>
    <xf borderId="2" fillId="0" fontId="3" numFmtId="0" xfId="0" applyAlignment="1" applyBorder="1" applyFont="1">
      <alignment shrinkToFit="0" vertical="top" wrapText="1"/>
    </xf>
    <xf borderId="0" fillId="0" fontId="2" numFmtId="0" xfId="0" applyAlignment="1" applyFont="1">
      <alignment horizontal="center"/>
    </xf>
    <xf borderId="0" fillId="0" fontId="3" numFmtId="0" xfId="0" applyAlignment="1" applyFont="1">
      <alignment readingOrder="0" shrinkToFit="0" vertical="top" wrapText="1"/>
    </xf>
    <xf borderId="0" fillId="0" fontId="3" numFmtId="0" xfId="0" applyAlignment="1" applyFont="1">
      <alignment shrinkToFit="0" vertical="top" wrapText="1"/>
    </xf>
    <xf borderId="2" fillId="0" fontId="7" numFmtId="0" xfId="0" applyAlignment="1" applyBorder="1" applyFont="1">
      <alignment readingOrder="0" shrinkToFit="0" vertical="top" wrapText="1"/>
    </xf>
    <xf borderId="0" fillId="0" fontId="8" numFmtId="0" xfId="0" applyAlignment="1" applyFont="1">
      <alignment shrinkToFit="0" wrapText="1"/>
    </xf>
    <xf borderId="3" fillId="4" fontId="9" numFmtId="0" xfId="0" applyAlignment="1" applyBorder="1" applyFill="1" applyFont="1">
      <alignment horizontal="center" readingOrder="0" shrinkToFit="0" vertical="center" wrapText="1"/>
    </xf>
    <xf borderId="4" fillId="0" fontId="10" numFmtId="0" xfId="0" applyBorder="1" applyFont="1"/>
    <xf borderId="5" fillId="5" fontId="11" numFmtId="0" xfId="0" applyAlignment="1" applyBorder="1" applyFill="1" applyFont="1">
      <alignment horizontal="center" readingOrder="0" shrinkToFit="0" vertical="center" wrapText="1"/>
    </xf>
    <xf borderId="6" fillId="0" fontId="10" numFmtId="0" xfId="0" applyBorder="1" applyFont="1"/>
    <xf borderId="7" fillId="6" fontId="12" numFmtId="0" xfId="0" applyAlignment="1" applyBorder="1" applyFill="1" applyFont="1">
      <alignment horizontal="center" readingOrder="0" shrinkToFit="0" vertical="center" wrapText="1"/>
    </xf>
    <xf borderId="8" fillId="0" fontId="10" numFmtId="0" xfId="0" applyBorder="1" applyFont="1"/>
    <xf borderId="9" fillId="7" fontId="13" numFmtId="0" xfId="0" applyAlignment="1" applyBorder="1" applyFill="1" applyFont="1">
      <alignment horizontal="center" readingOrder="0" shrinkToFit="0" vertical="center" wrapText="1"/>
    </xf>
    <xf borderId="10" fillId="0" fontId="10" numFmtId="0" xfId="0" applyBorder="1" applyFont="1"/>
    <xf borderId="11" fillId="4" fontId="14" numFmtId="0" xfId="0" applyAlignment="1" applyBorder="1" applyFill="1" applyFont="1">
      <alignment horizontal="center" shrinkToFit="0" vertical="center" wrapText="1"/>
    </xf>
    <xf borderId="12" fillId="0" fontId="10" numFmtId="0" xfId="0" applyBorder="1" applyFont="1"/>
    <xf borderId="13" fillId="5" fontId="11" numFmtId="0" xfId="0" applyAlignment="1" applyBorder="1" applyFill="1" applyFont="1">
      <alignment horizontal="center" shrinkToFit="0" vertical="center" wrapText="1"/>
    </xf>
    <xf borderId="14" fillId="0" fontId="10" numFmtId="0" xfId="0" applyBorder="1" applyFont="1"/>
    <xf borderId="15" fillId="6" fontId="12" numFmtId="0" xfId="0" applyAlignment="1" applyBorder="1" applyFill="1" applyFont="1">
      <alignment horizontal="center" shrinkToFit="0" vertical="center" wrapText="1"/>
    </xf>
    <xf borderId="16" fillId="0" fontId="10" numFmtId="0" xfId="0" applyBorder="1" applyFont="1"/>
    <xf borderId="17" fillId="7" fontId="13" numFmtId="0" xfId="0" applyAlignment="1" applyBorder="1" applyFill="1" applyFont="1">
      <alignment horizontal="center" shrinkToFit="0" vertical="center" wrapText="1"/>
    </xf>
    <xf borderId="18" fillId="0" fontId="10" numFmtId="0" xfId="0" applyBorder="1" applyFont="1"/>
    <xf borderId="19" fillId="4" fontId="15" numFmtId="0" xfId="0" applyAlignment="1" applyBorder="1" applyFill="1" applyFont="1">
      <alignment horizontal="center" readingOrder="0" shrinkToFit="0" vertical="center" wrapText="1"/>
    </xf>
    <xf borderId="20" fillId="0" fontId="10" numFmtId="0" xfId="0" applyBorder="1" applyFont="1"/>
    <xf borderId="21" fillId="5" fontId="16" numFmtId="0" xfId="0" applyAlignment="1" applyBorder="1" applyFill="1" applyFont="1">
      <alignment horizontal="center" shrinkToFit="0" vertical="center" wrapText="1"/>
    </xf>
    <xf borderId="22" fillId="0" fontId="10" numFmtId="0" xfId="0" applyBorder="1" applyFont="1"/>
    <xf borderId="23" fillId="6" fontId="17" numFmtId="0" xfId="0" applyAlignment="1" applyBorder="1" applyFill="1" applyFont="1">
      <alignment horizontal="center" shrinkToFit="0" vertical="center" wrapText="1"/>
    </xf>
    <xf borderId="24" fillId="0" fontId="10" numFmtId="0" xfId="0" applyBorder="1" applyFont="1"/>
    <xf borderId="25" fillId="7" fontId="18" numFmtId="0" xfId="0" applyAlignment="1" applyBorder="1" applyFill="1" applyFont="1">
      <alignment horizontal="center" shrinkToFit="0" vertical="center" wrapText="1"/>
    </xf>
    <xf borderId="26" fillId="0" fontId="10" numFmtId="0" xfId="0" applyBorder="1" applyFont="1"/>
    <xf borderId="27" fillId="8" fontId="19" numFmtId="0" xfId="0" applyAlignment="1" applyBorder="1" applyFill="1" applyFont="1">
      <alignment horizontal="center" readingOrder="0" shrinkToFit="0" vertical="center" wrapText="1"/>
    </xf>
    <xf borderId="28" fillId="8" fontId="19" numFmtId="0" xfId="0" applyAlignment="1" applyBorder="1" applyFill="1" applyFont="1">
      <alignment horizontal="center" readingOrder="0" shrinkToFit="0" vertical="center" wrapText="1"/>
    </xf>
    <xf borderId="29" fillId="8" fontId="19" numFmtId="0" xfId="0" applyAlignment="1" applyBorder="1" applyFill="1" applyFont="1">
      <alignment horizontal="center" readingOrder="0" shrinkToFit="0" vertical="center" wrapText="1"/>
    </xf>
    <xf borderId="30" fillId="0" fontId="8" numFmtId="0" xfId="0" applyAlignment="1" applyBorder="1" applyFont="1">
      <alignment horizontal="center" readingOrder="0" shrinkToFit="0" vertical="center" wrapText="1"/>
    </xf>
    <xf borderId="31" fillId="0" fontId="20" numFmtId="0" xfId="0" applyAlignment="1" applyBorder="1" applyFont="1">
      <alignment horizontal="center" readingOrder="0" shrinkToFit="0" vertical="center" wrapText="1"/>
    </xf>
    <xf borderId="31" fillId="0" fontId="8" numFmtId="0" xfId="0" applyAlignment="1" applyBorder="1" applyFont="1">
      <alignment horizontal="center" readingOrder="0" shrinkToFit="0" vertical="center" wrapText="1"/>
    </xf>
    <xf borderId="31" fillId="0" fontId="8" numFmtId="0" xfId="0" applyAlignment="1" applyBorder="1" applyFont="1">
      <alignment horizontal="left" readingOrder="0" shrinkToFit="0" vertical="center" wrapText="1"/>
    </xf>
    <xf borderId="32" fillId="0" fontId="8" numFmtId="0" xfId="0" applyAlignment="1" applyBorder="1" applyFont="1">
      <alignment horizontal="center" readingOrder="0" shrinkToFit="0" vertical="center" wrapText="1"/>
    </xf>
    <xf borderId="33" fillId="0" fontId="8" numFmtId="0" xfId="0" applyAlignment="1" applyBorder="1" applyFont="1">
      <alignment horizontal="center" readingOrder="0" shrinkToFit="0" vertical="center" wrapText="1"/>
    </xf>
    <xf borderId="34" fillId="0" fontId="20" numFmtId="0" xfId="0" applyAlignment="1" applyBorder="1" applyFont="1">
      <alignment horizontal="center" readingOrder="0" shrinkToFit="0" vertical="center" wrapText="1"/>
    </xf>
    <xf borderId="34" fillId="0" fontId="8" numFmtId="0" xfId="0" applyAlignment="1" applyBorder="1" applyFont="1">
      <alignment horizontal="center" readingOrder="0" shrinkToFit="0" vertical="center" wrapText="1"/>
    </xf>
    <xf borderId="34" fillId="0" fontId="8" numFmtId="0" xfId="0" applyAlignment="1" applyBorder="1" applyFont="1">
      <alignment horizontal="left" readingOrder="0" shrinkToFit="0" vertical="center" wrapText="1"/>
    </xf>
    <xf borderId="35" fillId="0" fontId="8" numFmtId="0" xfId="0" applyAlignment="1" applyBorder="1" applyFont="1">
      <alignment horizontal="center"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146626"/>
      </font>
      <fill>
        <patternFill patternType="solid">
          <fgColor rgb="FFD1EDD8"/>
          <bgColor rgb="FFD1EDD8"/>
        </patternFill>
      </fill>
      <border/>
    </dxf>
    <dxf>
      <font>
        <b/>
        <color rgb="FFA5660C"/>
      </font>
      <fill>
        <patternFill patternType="solid">
          <fgColor rgb="FFFFEDC6"/>
          <bgColor rgb="FFFFEDC6"/>
        </patternFill>
      </fill>
      <border/>
    </dxf>
    <dxf>
      <font>
        <b/>
        <color rgb="FFA51926"/>
      </font>
      <fill>
        <patternFill patternType="solid">
          <fgColor rgb="FFF9D1D8"/>
          <bgColor rgb="FFF9D1D8"/>
        </patternFill>
      </fill>
      <border/>
    </dxf>
  </dxfs>
  <tableStyles count="5">
    <tableStyle count="4" pivot="0" name="01_Features_Khách hàng-style">
      <tableStyleElement dxfId="1" type="headerRow"/>
      <tableStyleElement dxfId="2" type="firstRowStripe"/>
      <tableStyleElement dxfId="3" type="secondRowStripe"/>
      <tableStyleElement dxfId="4" size="0" type="wholeTable"/>
    </tableStyle>
    <tableStyle count="4" pivot="0" name="02_Features_Chủ cửa hàng-style">
      <tableStyleElement dxfId="1" type="headerRow"/>
      <tableStyleElement dxfId="2" type="firstRowStripe"/>
      <tableStyleElement dxfId="3" type="secondRowStripe"/>
      <tableStyleElement dxfId="4" size="0" type="wholeTable"/>
    </tableStyle>
    <tableStyle count="4" pivot="0" name="03_Service_Packages-style">
      <tableStyleElement dxfId="1" type="headerRow"/>
      <tableStyleElement dxfId="2" type="firstRowStripe"/>
      <tableStyleElement dxfId="3" type="secondRowStripe"/>
      <tableStyleElement dxfId="4" size="0" type="wholeTable"/>
    </tableStyle>
    <tableStyle count="4" pivot="0" name="03_Service_Packages-style 2">
      <tableStyleElement dxfId="1" type="headerRow"/>
      <tableStyleElement dxfId="2" type="firstRowStripe"/>
      <tableStyleElement dxfId="3" type="secondRowStripe"/>
      <tableStyleElement dxfId="4" size="0" type="wholeTable"/>
    </tableStyle>
    <tableStyle count="4" pivot="0" name="03_Service_Packages-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95" displayName="Fun.Khách_hàng" name="Fun.Khách_hàng" id="2">
  <tableColumns count="14">
    <tableColumn name="STT" id="1"/>
    <tableColumn name="Tính năng cấp 1" id="2"/>
    <tableColumn name="Tính năng cấp 2" id="3"/>
    <tableColumn name="Tính năng cấp 3" id="4"/>
    <tableColumn name="Mô tả tính năng" id="5"/>
    <tableColumn name="Vai trò người dùng" id="6"/>
    <tableColumn name="Trường dữ liệu" id="7"/>
    <tableColumn name="Business Rules" id="8"/>
    <tableColumn name="Điều kiện / Validation" id="9"/>
    <tableColumn name="Kết quả" id="10"/>
    <tableColumn name="Trạng Thái BE" id="11"/>
    <tableColumn name="Trạng thái test" id="12"/>
    <tableColumn name="Trạng Thái Web" id="13"/>
    <tableColumn name="Trạng thái App" id="14"/>
  </tableColumns>
  <tableStyleInfo name="01_Features_Khách hàng-style" showColumnStripes="0" showFirstColumn="1" showLastColumn="1" showRowStripes="1"/>
</table>
</file>

<file path=xl/tables/table2.xml><?xml version="1.0" encoding="utf-8"?>
<table xmlns="http://schemas.openxmlformats.org/spreadsheetml/2006/main" ref="A1:M127" displayName="Fun.Chủ_cửa_hàng" name="Fun.Chủ_cửa_hàng" id="1">
  <tableColumns count="13">
    <tableColumn name="STT" id="1"/>
    <tableColumn name="Tính năng cấp 1" id="2"/>
    <tableColumn name="Tính năng cấp 2" id="3"/>
    <tableColumn name="Tính năng cấp 3" id="4"/>
    <tableColumn name="Mô tả tính năng" id="5"/>
    <tableColumn name="Vai trò người dùng" id="6"/>
    <tableColumn name="Trường dữ liệu" id="7"/>
    <tableColumn name="Business Rules" id="8"/>
    <tableColumn name="Điều kiện / Validation" id="9"/>
    <tableColumn name="Kết quả" id="10"/>
    <tableColumn name="Trạng Thái BE" id="11"/>
    <tableColumn name="Trạng Thái Web" id="12"/>
    <tableColumn name="Trạng thái App" id="13"/>
  </tableColumns>
  <tableStyleInfo name="02_Features_Chủ cửa hàng-style" showColumnStripes="0" showFirstColumn="1" showLastColumn="1" showRowStripes="1"/>
</table>
</file>

<file path=xl/tables/table3.xml><?xml version="1.0" encoding="utf-8"?>
<table xmlns="http://schemas.openxmlformats.org/spreadsheetml/2006/main" ref="A2:J6" displayName="tblPackages" name="tblPackages" id="3">
  <tableColumns count="10">
    <tableColumn name="Mã gói" id="1"/>
    <tableColumn name="Tên gói" id="2"/>
    <tableColumn name="Đối tượng sử dụng" id="3"/>
    <tableColumn name="Giá và đơn vị tiền tệ" id="4"/>
    <tableColumn name="Chu kỳ thanh toán" id="5"/>
    <tableColumn name="Thời hạn hiệu lực" id="6"/>
    <tableColumn name="Trạng thái kinh doanh" id="7"/>
    <tableColumn name="Quyền lợi cốt lõi" id="8"/>
    <tableColumn name="Giới hạn sử dụng quan trọng" id="9"/>
    <tableColumn name="Quy tắc nâng cấp, hạ cấp, gia hạn, hết hạn, hủy" id="10"/>
  </tableColumns>
  <tableStyleInfo name="03_Service_Packages-style" showColumnStripes="0" showFirstColumn="1" showLastColumn="1" showRowStripes="1"/>
</table>
</file>

<file path=xl/tables/table4.xml><?xml version="1.0" encoding="utf-8"?>
<table xmlns="http://schemas.openxmlformats.org/spreadsheetml/2006/main" ref="A9:K355" displayName="tblMatrix" name="tblMatrix" id="4">
  <tableColumns count="11">
    <tableColumn name="Mã tính năng" id="1"/>
    <tableColumn name="Tên tính năng" id="2"/>
    <tableColumn name="Vai trò được phép" id="3"/>
    <tableColumn name="Gói áp dụng" id="4"/>
    <tableColumn name="Quyền sử dụng" id="5"/>
    <tableColumn name="Hạn mức" id="6"/>
    <tableColumn name="Đơn vị tính hạn mức" id="7"/>
    <tableColumn name="Chu kỳ đặt lại hạn mức" id="8"/>
    <tableColumn name="Điều kiện mở khóa hoặc nâng cấp" id="9"/>
    <tableColumn name="Xử lý khi hết hạn mức" id="10"/>
    <tableColumn name="Xử lý khi gói hết hạn hoặc bị hủy" id="11"/>
  </tableColumns>
  <tableStyleInfo name="03_Service_Packages-style 2" showColumnStripes="0" showFirstColumn="1" showLastColumn="1" showRowStripes="1"/>
</table>
</file>

<file path=xl/tables/table5.xml><?xml version="1.0" encoding="utf-8"?>
<table xmlns="http://schemas.openxmlformats.org/spreadsheetml/2006/main" ref="A358:H369" displayName="tblLifecycle" name="tblLifecycle" id="5">
  <tableColumns count="8">
    <tableColumn name="Mã quy tắc" id="1"/>
    <tableColumn name="Tình huống" id="2"/>
    <tableColumn name="Điều kiện kích hoạt" id="3"/>
    <tableColumn name="Quy tắc xử lý" id="4"/>
    <tableColumn name="Thời điểm hiệu lực" id="5"/>
    <tableColumn name="Xử lý quyền lợi và dữ liệu" id="6"/>
    <tableColumn name="Thông báo" id="7"/>
    <tableColumn name="Ngoại lệ" id="8"/>
  </tableColumns>
  <tableStyleInfo name="03_Service_Packag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31.71"/>
    <col customWidth="1" min="3" max="3" width="28.71"/>
    <col customWidth="1" min="4" max="4" width="40.0"/>
    <col customWidth="1" min="5" max="5" width="55.0"/>
    <col customWidth="1" min="6" max="6" width="22.0"/>
    <col customWidth="1" min="7" max="7" width="45.0"/>
    <col customWidth="1" min="8" max="8" width="60.0"/>
    <col customWidth="1" min="9" max="9" width="45.0"/>
    <col customWidth="1" min="10" max="10" width="40.0"/>
    <col customWidth="1" min="11" max="12" width="23.86"/>
    <col customWidth="1" min="13" max="13" width="25.71"/>
    <col customWidth="1" min="14" max="14" width="30.71"/>
    <col customWidth="1" min="15" max="27" width="8.71"/>
  </cols>
  <sheetData>
    <row r="1" ht="31.5" customHeight="1">
      <c r="A1" s="6" t="s">
        <v>0</v>
      </c>
      <c r="B1" s="6" t="s">
        <v>38</v>
      </c>
      <c r="C1" s="6" t="s">
        <v>42</v>
      </c>
      <c r="D1" s="6" t="s">
        <v>45</v>
      </c>
      <c r="E1" s="6" t="s">
        <v>50</v>
      </c>
      <c r="F1" s="6" t="s">
        <v>52</v>
      </c>
      <c r="G1" s="6" t="s">
        <v>56</v>
      </c>
      <c r="H1" s="6" t="s">
        <v>59</v>
      </c>
      <c r="I1" s="6" t="s">
        <v>62</v>
      </c>
      <c r="J1" s="6" t="s">
        <v>66</v>
      </c>
      <c r="K1" s="9" t="s">
        <v>69</v>
      </c>
      <c r="L1" s="10" t="s">
        <v>73</v>
      </c>
      <c r="M1" s="9" t="s">
        <v>77</v>
      </c>
      <c r="N1" s="9" t="s">
        <v>80</v>
      </c>
    </row>
    <row r="2">
      <c r="A2" s="12">
        <v>1.0</v>
      </c>
      <c r="B2" s="15" t="s">
        <v>89</v>
      </c>
      <c r="C2" s="15" t="s">
        <v>93</v>
      </c>
      <c r="D2" s="15" t="s">
        <v>98</v>
      </c>
      <c r="E2" s="15" t="s">
        <v>101</v>
      </c>
      <c r="F2" s="15" t="s">
        <v>109</v>
      </c>
      <c r="G2" s="15" t="s">
        <v>113</v>
      </c>
      <c r="H2" s="15" t="s">
        <v>118</v>
      </c>
      <c r="I2" s="15" t="s">
        <v>123</v>
      </c>
      <c r="J2" s="15" t="s">
        <v>128</v>
      </c>
      <c r="K2" s="17" t="s">
        <v>125</v>
      </c>
      <c r="L2" s="17" t="s">
        <v>125</v>
      </c>
      <c r="M2" s="18"/>
      <c r="N2" s="17" t="s">
        <v>131</v>
      </c>
    </row>
    <row r="3">
      <c r="A3" s="12">
        <v>2.0</v>
      </c>
      <c r="B3" s="15" t="s">
        <v>89</v>
      </c>
      <c r="C3" s="15" t="s">
        <v>93</v>
      </c>
      <c r="D3" s="15" t="s">
        <v>144</v>
      </c>
      <c r="E3" s="15" t="s">
        <v>147</v>
      </c>
      <c r="F3" s="15" t="s">
        <v>109</v>
      </c>
      <c r="G3" s="15" t="s">
        <v>150</v>
      </c>
      <c r="H3" s="15" t="s">
        <v>153</v>
      </c>
      <c r="I3" s="15" t="s">
        <v>155</v>
      </c>
      <c r="J3" s="15" t="s">
        <v>157</v>
      </c>
      <c r="K3" s="17" t="s">
        <v>125</v>
      </c>
      <c r="L3" s="17" t="s">
        <v>125</v>
      </c>
      <c r="M3" s="18"/>
      <c r="N3" s="17" t="s">
        <v>131</v>
      </c>
    </row>
    <row r="4">
      <c r="A4" s="12">
        <v>3.0</v>
      </c>
      <c r="B4" s="15" t="s">
        <v>89</v>
      </c>
      <c r="C4" s="15" t="s">
        <v>137</v>
      </c>
      <c r="D4" s="15" t="s">
        <v>163</v>
      </c>
      <c r="E4" s="15" t="s">
        <v>165</v>
      </c>
      <c r="F4" s="15" t="s">
        <v>109</v>
      </c>
      <c r="G4" s="15" t="s">
        <v>168</v>
      </c>
      <c r="H4" s="15" t="s">
        <v>171</v>
      </c>
      <c r="I4" s="15" t="s">
        <v>174</v>
      </c>
      <c r="J4" s="15" t="s">
        <v>175</v>
      </c>
      <c r="K4" s="17" t="s">
        <v>125</v>
      </c>
      <c r="L4" s="17" t="s">
        <v>125</v>
      </c>
      <c r="M4" s="18"/>
      <c r="N4" s="17" t="s">
        <v>131</v>
      </c>
    </row>
    <row r="5">
      <c r="A5" s="12">
        <v>4.0</v>
      </c>
      <c r="B5" s="15" t="s">
        <v>89</v>
      </c>
      <c r="C5" s="15" t="s">
        <v>137</v>
      </c>
      <c r="D5" s="15" t="s">
        <v>187</v>
      </c>
      <c r="E5" s="15" t="s">
        <v>188</v>
      </c>
      <c r="F5" s="15" t="s">
        <v>109</v>
      </c>
      <c r="G5" s="15" t="s">
        <v>194</v>
      </c>
      <c r="H5" s="15" t="s">
        <v>195</v>
      </c>
      <c r="I5" s="15" t="s">
        <v>197</v>
      </c>
      <c r="J5" s="15" t="s">
        <v>199</v>
      </c>
      <c r="K5" s="17" t="s">
        <v>125</v>
      </c>
      <c r="L5" s="17" t="s">
        <v>125</v>
      </c>
      <c r="M5" s="18"/>
      <c r="N5" s="17" t="s">
        <v>131</v>
      </c>
    </row>
    <row r="6">
      <c r="A6" s="12">
        <v>5.0</v>
      </c>
      <c r="B6" s="15" t="s">
        <v>89</v>
      </c>
      <c r="C6" s="15" t="s">
        <v>209</v>
      </c>
      <c r="D6" s="15" t="s">
        <v>210</v>
      </c>
      <c r="E6" s="15" t="s">
        <v>211</v>
      </c>
      <c r="F6" s="15" t="s">
        <v>109</v>
      </c>
      <c r="G6" s="15" t="s">
        <v>214</v>
      </c>
      <c r="H6" s="15" t="s">
        <v>216</v>
      </c>
      <c r="I6" s="15" t="s">
        <v>218</v>
      </c>
      <c r="J6" s="15" t="s">
        <v>217</v>
      </c>
      <c r="K6" s="17" t="s">
        <v>219</v>
      </c>
      <c r="L6" s="17" t="s">
        <v>219</v>
      </c>
      <c r="M6" s="18"/>
      <c r="N6" s="17" t="s">
        <v>219</v>
      </c>
    </row>
    <row r="7">
      <c r="A7" s="12">
        <v>6.0</v>
      </c>
      <c r="B7" s="15" t="s">
        <v>89</v>
      </c>
      <c r="C7" s="15" t="s">
        <v>209</v>
      </c>
      <c r="D7" s="15" t="s">
        <v>224</v>
      </c>
      <c r="E7" s="15" t="s">
        <v>227</v>
      </c>
      <c r="F7" s="15" t="s">
        <v>109</v>
      </c>
      <c r="G7" s="15" t="s">
        <v>230</v>
      </c>
      <c r="H7" s="15" t="s">
        <v>232</v>
      </c>
      <c r="I7" s="15" t="s">
        <v>233</v>
      </c>
      <c r="J7" s="15" t="s">
        <v>235</v>
      </c>
      <c r="K7" s="17" t="s">
        <v>219</v>
      </c>
      <c r="L7" s="17" t="s">
        <v>219</v>
      </c>
      <c r="M7" s="18"/>
      <c r="N7" s="17" t="s">
        <v>219</v>
      </c>
    </row>
    <row r="8">
      <c r="A8" s="12">
        <v>7.0</v>
      </c>
      <c r="B8" s="15" t="s">
        <v>89</v>
      </c>
      <c r="C8" s="15" t="s">
        <v>241</v>
      </c>
      <c r="D8" s="15" t="s">
        <v>243</v>
      </c>
      <c r="E8" s="15" t="s">
        <v>245</v>
      </c>
      <c r="F8" s="15" t="s">
        <v>109</v>
      </c>
      <c r="G8" s="15" t="s">
        <v>247</v>
      </c>
      <c r="H8" s="15" t="s">
        <v>249</v>
      </c>
      <c r="I8" s="15" t="s">
        <v>250</v>
      </c>
      <c r="J8" s="15" t="s">
        <v>251</v>
      </c>
      <c r="K8" s="17" t="s">
        <v>219</v>
      </c>
      <c r="L8" s="17" t="s">
        <v>219</v>
      </c>
      <c r="M8" s="18"/>
      <c r="N8" s="17" t="s">
        <v>219</v>
      </c>
    </row>
    <row r="9">
      <c r="A9" s="12">
        <v>8.0</v>
      </c>
      <c r="B9" s="15" t="s">
        <v>89</v>
      </c>
      <c r="C9" s="15" t="s">
        <v>241</v>
      </c>
      <c r="D9" s="15" t="s">
        <v>256</v>
      </c>
      <c r="E9" s="15" t="s">
        <v>257</v>
      </c>
      <c r="F9" s="15" t="s">
        <v>109</v>
      </c>
      <c r="G9" s="15" t="s">
        <v>260</v>
      </c>
      <c r="H9" s="15" t="s">
        <v>262</v>
      </c>
      <c r="I9" s="15" t="s">
        <v>263</v>
      </c>
      <c r="J9" s="15" t="s">
        <v>265</v>
      </c>
      <c r="K9" s="17" t="s">
        <v>219</v>
      </c>
      <c r="L9" s="17" t="s">
        <v>219</v>
      </c>
      <c r="M9" s="18"/>
      <c r="N9" s="17" t="s">
        <v>219</v>
      </c>
    </row>
    <row r="10">
      <c r="A10" s="12">
        <v>9.0</v>
      </c>
      <c r="B10" s="15" t="s">
        <v>89</v>
      </c>
      <c r="C10" s="15" t="s">
        <v>277</v>
      </c>
      <c r="D10" s="15" t="s">
        <v>278</v>
      </c>
      <c r="E10" s="15" t="s">
        <v>280</v>
      </c>
      <c r="F10" s="15" t="s">
        <v>109</v>
      </c>
      <c r="G10" s="15" t="s">
        <v>284</v>
      </c>
      <c r="H10" s="15" t="s">
        <v>285</v>
      </c>
      <c r="I10" s="15" t="s">
        <v>286</v>
      </c>
      <c r="J10" s="15" t="s">
        <v>287</v>
      </c>
      <c r="K10" s="17" t="s">
        <v>219</v>
      </c>
      <c r="L10" s="17" t="s">
        <v>219</v>
      </c>
      <c r="M10" s="18"/>
      <c r="N10" s="17" t="s">
        <v>219</v>
      </c>
    </row>
    <row r="11">
      <c r="A11" s="12">
        <v>10.0</v>
      </c>
      <c r="B11" s="15" t="s">
        <v>89</v>
      </c>
      <c r="C11" s="15" t="s">
        <v>277</v>
      </c>
      <c r="D11" s="15" t="s">
        <v>298</v>
      </c>
      <c r="E11" s="15" t="s">
        <v>300</v>
      </c>
      <c r="F11" s="15" t="s">
        <v>109</v>
      </c>
      <c r="G11" s="15" t="s">
        <v>302</v>
      </c>
      <c r="H11" s="15" t="s">
        <v>305</v>
      </c>
      <c r="I11" s="15" t="s">
        <v>306</v>
      </c>
      <c r="J11" s="15" t="s">
        <v>308</v>
      </c>
      <c r="K11" s="17" t="s">
        <v>219</v>
      </c>
      <c r="L11" s="17" t="s">
        <v>219</v>
      </c>
      <c r="M11" s="18"/>
      <c r="N11" s="17" t="s">
        <v>219</v>
      </c>
    </row>
    <row r="12">
      <c r="A12" s="12">
        <v>11.0</v>
      </c>
      <c r="B12" s="15" t="s">
        <v>89</v>
      </c>
      <c r="C12" s="15" t="s">
        <v>317</v>
      </c>
      <c r="D12" s="15" t="s">
        <v>319</v>
      </c>
      <c r="E12" s="15" t="s">
        <v>320</v>
      </c>
      <c r="F12" s="15" t="s">
        <v>109</v>
      </c>
      <c r="G12" s="15" t="s">
        <v>321</v>
      </c>
      <c r="H12" s="15" t="s">
        <v>322</v>
      </c>
      <c r="I12" s="15" t="s">
        <v>323</v>
      </c>
      <c r="J12" s="15" t="s">
        <v>326</v>
      </c>
      <c r="K12" s="17" t="s">
        <v>219</v>
      </c>
      <c r="L12" s="17" t="s">
        <v>219</v>
      </c>
      <c r="M12" s="18"/>
      <c r="N12" s="17" t="s">
        <v>219</v>
      </c>
    </row>
    <row r="13">
      <c r="A13" s="12">
        <v>12.0</v>
      </c>
      <c r="B13" s="15" t="s">
        <v>89</v>
      </c>
      <c r="C13" s="15" t="s">
        <v>341</v>
      </c>
      <c r="D13" s="15" t="s">
        <v>342</v>
      </c>
      <c r="E13" s="15" t="s">
        <v>343</v>
      </c>
      <c r="F13" s="15" t="s">
        <v>109</v>
      </c>
      <c r="G13" s="15" t="s">
        <v>348</v>
      </c>
      <c r="H13" s="15" t="s">
        <v>351</v>
      </c>
      <c r="I13" s="15" t="s">
        <v>352</v>
      </c>
      <c r="J13" s="15" t="s">
        <v>354</v>
      </c>
      <c r="K13" s="17" t="s">
        <v>219</v>
      </c>
      <c r="L13" s="17" t="s">
        <v>219</v>
      </c>
      <c r="M13" s="18"/>
      <c r="N13" s="17" t="s">
        <v>219</v>
      </c>
    </row>
    <row r="14">
      <c r="A14" s="12">
        <v>13.0</v>
      </c>
      <c r="B14" s="15" t="s">
        <v>89</v>
      </c>
      <c r="C14" s="15" t="s">
        <v>241</v>
      </c>
      <c r="D14" s="15" t="s">
        <v>362</v>
      </c>
      <c r="E14" s="15" t="s">
        <v>365</v>
      </c>
      <c r="F14" s="15" t="s">
        <v>109</v>
      </c>
      <c r="G14" s="15" t="s">
        <v>369</v>
      </c>
      <c r="H14" s="15" t="s">
        <v>371</v>
      </c>
      <c r="I14" s="15" t="s">
        <v>375</v>
      </c>
      <c r="J14" s="15" t="s">
        <v>376</v>
      </c>
      <c r="K14" s="17" t="s">
        <v>219</v>
      </c>
      <c r="L14" s="17" t="s">
        <v>219</v>
      </c>
      <c r="M14" s="18"/>
      <c r="N14" s="17" t="s">
        <v>219</v>
      </c>
    </row>
    <row r="15">
      <c r="A15" s="12">
        <v>14.0</v>
      </c>
      <c r="B15" s="15" t="s">
        <v>89</v>
      </c>
      <c r="C15" s="15" t="s">
        <v>241</v>
      </c>
      <c r="D15" s="15" t="s">
        <v>386</v>
      </c>
      <c r="E15" s="15" t="s">
        <v>387</v>
      </c>
      <c r="F15" s="15" t="s">
        <v>109</v>
      </c>
      <c r="G15" s="15" t="s">
        <v>389</v>
      </c>
      <c r="H15" s="15" t="s">
        <v>391</v>
      </c>
      <c r="I15" s="15" t="s">
        <v>392</v>
      </c>
      <c r="J15" s="15" t="s">
        <v>396</v>
      </c>
      <c r="K15" s="17" t="s">
        <v>219</v>
      </c>
      <c r="L15" s="17" t="s">
        <v>219</v>
      </c>
      <c r="M15" s="18"/>
      <c r="N15" s="17" t="s">
        <v>219</v>
      </c>
    </row>
    <row r="16">
      <c r="A16" s="12">
        <v>15.0</v>
      </c>
      <c r="B16" s="15" t="s">
        <v>89</v>
      </c>
      <c r="C16" s="15" t="s">
        <v>277</v>
      </c>
      <c r="D16" s="15" t="s">
        <v>411</v>
      </c>
      <c r="E16" s="15" t="s">
        <v>413</v>
      </c>
      <c r="F16" s="15" t="s">
        <v>109</v>
      </c>
      <c r="G16" s="15" t="s">
        <v>418</v>
      </c>
      <c r="H16" s="15" t="s">
        <v>421</v>
      </c>
      <c r="I16" s="15" t="s">
        <v>422</v>
      </c>
      <c r="J16" s="15" t="s">
        <v>423</v>
      </c>
      <c r="K16" s="17" t="s">
        <v>219</v>
      </c>
      <c r="L16" s="17" t="s">
        <v>219</v>
      </c>
      <c r="M16" s="18"/>
      <c r="N16" s="17" t="s">
        <v>219</v>
      </c>
    </row>
    <row r="17">
      <c r="A17" s="12">
        <v>16.0</v>
      </c>
      <c r="B17" s="15" t="s">
        <v>89</v>
      </c>
      <c r="C17" s="15" t="s">
        <v>432</v>
      </c>
      <c r="D17" s="15" t="s">
        <v>433</v>
      </c>
      <c r="E17" s="15" t="s">
        <v>434</v>
      </c>
      <c r="F17" s="15" t="s">
        <v>109</v>
      </c>
      <c r="G17" s="15" t="s">
        <v>435</v>
      </c>
      <c r="H17" s="15" t="s">
        <v>437</v>
      </c>
      <c r="I17" s="15" t="s">
        <v>439</v>
      </c>
      <c r="J17" s="15" t="s">
        <v>442</v>
      </c>
      <c r="K17" s="17" t="s">
        <v>219</v>
      </c>
      <c r="L17" s="17" t="s">
        <v>219</v>
      </c>
      <c r="M17" s="18"/>
      <c r="N17" s="17" t="s">
        <v>219</v>
      </c>
    </row>
    <row r="18">
      <c r="A18" s="12">
        <v>17.0</v>
      </c>
      <c r="B18" s="15" t="s">
        <v>89</v>
      </c>
      <c r="C18" s="15" t="s">
        <v>341</v>
      </c>
      <c r="D18" s="15" t="s">
        <v>457</v>
      </c>
      <c r="E18" s="15" t="s">
        <v>459</v>
      </c>
      <c r="F18" s="15" t="s">
        <v>109</v>
      </c>
      <c r="G18" s="15" t="s">
        <v>462</v>
      </c>
      <c r="H18" s="15" t="s">
        <v>463</v>
      </c>
      <c r="I18" s="15" t="s">
        <v>215</v>
      </c>
      <c r="J18" s="15" t="s">
        <v>466</v>
      </c>
      <c r="K18" s="17" t="s">
        <v>219</v>
      </c>
      <c r="L18" s="17" t="s">
        <v>219</v>
      </c>
      <c r="M18" s="18"/>
      <c r="N18" s="17" t="s">
        <v>219</v>
      </c>
    </row>
    <row r="19">
      <c r="A19" s="12">
        <v>18.0</v>
      </c>
      <c r="B19" s="15" t="s">
        <v>89</v>
      </c>
      <c r="C19" s="15" t="s">
        <v>341</v>
      </c>
      <c r="D19" s="15" t="s">
        <v>479</v>
      </c>
      <c r="E19" s="15" t="s">
        <v>482</v>
      </c>
      <c r="F19" s="15" t="s">
        <v>109</v>
      </c>
      <c r="G19" s="15" t="s">
        <v>486</v>
      </c>
      <c r="H19" s="15" t="s">
        <v>487</v>
      </c>
      <c r="I19" s="15" t="s">
        <v>489</v>
      </c>
      <c r="J19" s="15" t="s">
        <v>491</v>
      </c>
      <c r="K19" s="17" t="s">
        <v>219</v>
      </c>
      <c r="L19" s="17" t="s">
        <v>219</v>
      </c>
      <c r="M19" s="18"/>
      <c r="N19" s="17" t="s">
        <v>219</v>
      </c>
    </row>
    <row r="20">
      <c r="A20" s="12">
        <v>19.0</v>
      </c>
      <c r="B20" s="15" t="s">
        <v>89</v>
      </c>
      <c r="C20" s="15" t="s">
        <v>317</v>
      </c>
      <c r="D20" s="15" t="s">
        <v>507</v>
      </c>
      <c r="E20" s="15" t="s">
        <v>509</v>
      </c>
      <c r="F20" s="15" t="s">
        <v>109</v>
      </c>
      <c r="G20" s="15" t="s">
        <v>511</v>
      </c>
      <c r="H20" s="15" t="s">
        <v>515</v>
      </c>
      <c r="I20" s="15" t="s">
        <v>518</v>
      </c>
      <c r="J20" s="15" t="s">
        <v>521</v>
      </c>
      <c r="K20" s="17" t="s">
        <v>219</v>
      </c>
      <c r="L20" s="17" t="s">
        <v>219</v>
      </c>
      <c r="M20" s="18"/>
      <c r="N20" s="17" t="s">
        <v>219</v>
      </c>
    </row>
    <row r="21" ht="15.75" customHeight="1">
      <c r="A21" s="12">
        <v>20.0</v>
      </c>
      <c r="B21" s="15" t="s">
        <v>530</v>
      </c>
      <c r="C21" s="15" t="s">
        <v>532</v>
      </c>
      <c r="D21" s="15" t="s">
        <v>533</v>
      </c>
      <c r="E21" s="15" t="s">
        <v>535</v>
      </c>
      <c r="F21" s="15" t="s">
        <v>109</v>
      </c>
      <c r="G21" s="15" t="s">
        <v>537</v>
      </c>
      <c r="H21" s="15" t="s">
        <v>540</v>
      </c>
      <c r="I21" s="15" t="s">
        <v>541</v>
      </c>
      <c r="J21" s="15" t="s">
        <v>543</v>
      </c>
      <c r="K21" s="17" t="s">
        <v>219</v>
      </c>
      <c r="L21" s="17" t="s">
        <v>219</v>
      </c>
      <c r="M21" s="18"/>
      <c r="N21" s="17" t="s">
        <v>219</v>
      </c>
    </row>
    <row r="22" ht="15.75" customHeight="1">
      <c r="A22" s="12">
        <v>21.0</v>
      </c>
      <c r="B22" s="15" t="s">
        <v>530</v>
      </c>
      <c r="C22" s="15" t="s">
        <v>532</v>
      </c>
      <c r="D22" s="15" t="s">
        <v>556</v>
      </c>
      <c r="E22" s="15" t="s">
        <v>559</v>
      </c>
      <c r="F22" s="15" t="s">
        <v>109</v>
      </c>
      <c r="G22" s="15" t="s">
        <v>563</v>
      </c>
      <c r="H22" s="15" t="s">
        <v>565</v>
      </c>
      <c r="I22" s="15" t="s">
        <v>567</v>
      </c>
      <c r="J22" s="15" t="s">
        <v>569</v>
      </c>
      <c r="K22" s="17" t="s">
        <v>219</v>
      </c>
      <c r="L22" s="17" t="s">
        <v>219</v>
      </c>
      <c r="M22" s="18"/>
      <c r="N22" s="17" t="s">
        <v>219</v>
      </c>
    </row>
    <row r="23" ht="15.75" customHeight="1">
      <c r="A23" s="12">
        <v>22.0</v>
      </c>
      <c r="B23" s="15" t="s">
        <v>530</v>
      </c>
      <c r="C23" s="15" t="s">
        <v>532</v>
      </c>
      <c r="D23" s="15" t="s">
        <v>594</v>
      </c>
      <c r="E23" s="15" t="s">
        <v>596</v>
      </c>
      <c r="F23" s="15" t="s">
        <v>109</v>
      </c>
      <c r="G23" s="15" t="s">
        <v>601</v>
      </c>
      <c r="H23" s="15" t="s">
        <v>603</v>
      </c>
      <c r="I23" s="15" t="s">
        <v>604</v>
      </c>
      <c r="J23" s="15" t="s">
        <v>605</v>
      </c>
      <c r="K23" s="17" t="s">
        <v>219</v>
      </c>
      <c r="L23" s="17" t="s">
        <v>219</v>
      </c>
      <c r="M23" s="18"/>
      <c r="N23" s="17" t="s">
        <v>219</v>
      </c>
    </row>
    <row r="24" ht="15.75" customHeight="1">
      <c r="A24" s="12">
        <v>23.0</v>
      </c>
      <c r="B24" s="15" t="s">
        <v>530</v>
      </c>
      <c r="C24" s="15" t="s">
        <v>532</v>
      </c>
      <c r="D24" s="15" t="s">
        <v>614</v>
      </c>
      <c r="E24" s="15" t="s">
        <v>615</v>
      </c>
      <c r="F24" s="15" t="s">
        <v>109</v>
      </c>
      <c r="G24" s="15" t="s">
        <v>616</v>
      </c>
      <c r="H24" s="15" t="s">
        <v>619</v>
      </c>
      <c r="I24" s="15" t="s">
        <v>621</v>
      </c>
      <c r="J24" s="15" t="s">
        <v>624</v>
      </c>
      <c r="K24" s="17" t="s">
        <v>219</v>
      </c>
      <c r="L24" s="17" t="s">
        <v>219</v>
      </c>
      <c r="M24" s="18"/>
      <c r="N24" s="17" t="s">
        <v>219</v>
      </c>
    </row>
    <row r="25" ht="15.75" customHeight="1">
      <c r="A25" s="12">
        <v>24.0</v>
      </c>
      <c r="B25" s="15" t="s">
        <v>530</v>
      </c>
      <c r="C25" s="15" t="s">
        <v>532</v>
      </c>
      <c r="D25" s="15" t="s">
        <v>628</v>
      </c>
      <c r="E25" s="15" t="s">
        <v>629</v>
      </c>
      <c r="F25" s="15" t="s">
        <v>109</v>
      </c>
      <c r="G25" s="15" t="s">
        <v>631</v>
      </c>
      <c r="H25" s="15" t="s">
        <v>633</v>
      </c>
      <c r="I25" s="15" t="s">
        <v>215</v>
      </c>
      <c r="J25" s="15" t="s">
        <v>634</v>
      </c>
      <c r="K25" s="17" t="s">
        <v>219</v>
      </c>
      <c r="L25" s="17" t="s">
        <v>219</v>
      </c>
      <c r="M25" s="18"/>
      <c r="N25" s="17" t="s">
        <v>219</v>
      </c>
    </row>
    <row r="26" ht="15.75" customHeight="1">
      <c r="A26" s="12">
        <v>25.0</v>
      </c>
      <c r="B26" s="15" t="s">
        <v>530</v>
      </c>
      <c r="C26" s="15" t="s">
        <v>532</v>
      </c>
      <c r="D26" s="15" t="s">
        <v>643</v>
      </c>
      <c r="E26" s="15" t="s">
        <v>644</v>
      </c>
      <c r="F26" s="15" t="s">
        <v>109</v>
      </c>
      <c r="G26" s="15" t="s">
        <v>645</v>
      </c>
      <c r="H26" s="15" t="s">
        <v>646</v>
      </c>
      <c r="I26" s="15" t="s">
        <v>648</v>
      </c>
      <c r="J26" s="15" t="s">
        <v>650</v>
      </c>
      <c r="K26" s="17" t="s">
        <v>219</v>
      </c>
      <c r="L26" s="17" t="s">
        <v>219</v>
      </c>
      <c r="M26" s="18"/>
      <c r="N26" s="17" t="s">
        <v>219</v>
      </c>
    </row>
    <row r="27" ht="15.75" customHeight="1">
      <c r="A27" s="12">
        <v>26.0</v>
      </c>
      <c r="B27" s="15" t="s">
        <v>530</v>
      </c>
      <c r="C27" s="15" t="s">
        <v>658</v>
      </c>
      <c r="D27" s="15" t="s">
        <v>659</v>
      </c>
      <c r="E27" s="15" t="s">
        <v>661</v>
      </c>
      <c r="F27" s="15" t="s">
        <v>109</v>
      </c>
      <c r="G27" s="15" t="s">
        <v>662</v>
      </c>
      <c r="H27" s="15" t="s">
        <v>663</v>
      </c>
      <c r="I27" s="15" t="s">
        <v>664</v>
      </c>
      <c r="J27" s="15" t="s">
        <v>665</v>
      </c>
      <c r="K27" s="17" t="s">
        <v>219</v>
      </c>
      <c r="L27" s="17" t="s">
        <v>219</v>
      </c>
      <c r="M27" s="18"/>
      <c r="N27" s="17" t="s">
        <v>219</v>
      </c>
    </row>
    <row r="28" ht="15.75" customHeight="1">
      <c r="A28" s="12">
        <v>27.0</v>
      </c>
      <c r="B28" s="15" t="s">
        <v>530</v>
      </c>
      <c r="C28" s="15" t="s">
        <v>17</v>
      </c>
      <c r="D28" s="15" t="s">
        <v>674</v>
      </c>
      <c r="E28" s="15" t="s">
        <v>676</v>
      </c>
      <c r="F28" s="15" t="s">
        <v>109</v>
      </c>
      <c r="G28" s="15" t="s">
        <v>678</v>
      </c>
      <c r="H28" s="15" t="s">
        <v>679</v>
      </c>
      <c r="I28" s="15" t="s">
        <v>680</v>
      </c>
      <c r="J28" s="15" t="s">
        <v>681</v>
      </c>
      <c r="K28" s="17" t="s">
        <v>219</v>
      </c>
      <c r="L28" s="17" t="s">
        <v>219</v>
      </c>
      <c r="M28" s="18"/>
      <c r="N28" s="17" t="s">
        <v>219</v>
      </c>
    </row>
    <row r="29" ht="15.75" customHeight="1">
      <c r="A29" s="12">
        <v>28.0</v>
      </c>
      <c r="B29" s="15" t="s">
        <v>530</v>
      </c>
      <c r="C29" s="15" t="s">
        <v>689</v>
      </c>
      <c r="D29" s="15" t="s">
        <v>690</v>
      </c>
      <c r="E29" s="15" t="s">
        <v>692</v>
      </c>
      <c r="F29" s="15" t="s">
        <v>109</v>
      </c>
      <c r="G29" s="15" t="s">
        <v>694</v>
      </c>
      <c r="H29" s="15" t="s">
        <v>695</v>
      </c>
      <c r="I29" s="15" t="s">
        <v>696</v>
      </c>
      <c r="J29" s="15" t="s">
        <v>697</v>
      </c>
      <c r="K29" s="17" t="s">
        <v>219</v>
      </c>
      <c r="L29" s="17" t="s">
        <v>219</v>
      </c>
      <c r="M29" s="18"/>
      <c r="N29" s="17" t="s">
        <v>219</v>
      </c>
    </row>
    <row r="30" ht="15.75" customHeight="1">
      <c r="A30" s="12">
        <v>29.0</v>
      </c>
      <c r="B30" s="15" t="s">
        <v>530</v>
      </c>
      <c r="C30" s="15" t="s">
        <v>689</v>
      </c>
      <c r="D30" s="15" t="s">
        <v>705</v>
      </c>
      <c r="E30" s="15" t="s">
        <v>707</v>
      </c>
      <c r="F30" s="15" t="s">
        <v>109</v>
      </c>
      <c r="G30" s="15" t="s">
        <v>694</v>
      </c>
      <c r="H30" s="15" t="s">
        <v>710</v>
      </c>
      <c r="I30" s="15" t="s">
        <v>712</v>
      </c>
      <c r="J30" s="15" t="s">
        <v>713</v>
      </c>
      <c r="K30" s="17" t="s">
        <v>219</v>
      </c>
      <c r="L30" s="17" t="s">
        <v>219</v>
      </c>
      <c r="M30" s="18"/>
      <c r="N30" s="17" t="s">
        <v>219</v>
      </c>
    </row>
    <row r="31" ht="15.75" customHeight="1">
      <c r="A31" s="12">
        <v>30.0</v>
      </c>
      <c r="B31" s="15" t="s">
        <v>530</v>
      </c>
      <c r="C31" s="15" t="s">
        <v>721</v>
      </c>
      <c r="D31" s="15" t="s">
        <v>722</v>
      </c>
      <c r="E31" s="15" t="s">
        <v>725</v>
      </c>
      <c r="F31" s="15" t="s">
        <v>109</v>
      </c>
      <c r="G31" s="15" t="s">
        <v>727</v>
      </c>
      <c r="H31" s="15" t="s">
        <v>729</v>
      </c>
      <c r="I31" s="15" t="s">
        <v>732</v>
      </c>
      <c r="J31" s="15" t="s">
        <v>733</v>
      </c>
      <c r="K31" s="17" t="s">
        <v>219</v>
      </c>
      <c r="L31" s="17" t="s">
        <v>219</v>
      </c>
      <c r="M31" s="18"/>
      <c r="N31" s="17" t="s">
        <v>219</v>
      </c>
    </row>
    <row r="32" ht="15.75" customHeight="1">
      <c r="A32" s="12">
        <v>31.0</v>
      </c>
      <c r="B32" s="15" t="s">
        <v>530</v>
      </c>
      <c r="C32" s="15" t="s">
        <v>738</v>
      </c>
      <c r="D32" s="15" t="s">
        <v>739</v>
      </c>
      <c r="E32" s="15" t="s">
        <v>742</v>
      </c>
      <c r="F32" s="15" t="s">
        <v>109</v>
      </c>
      <c r="G32" s="15" t="s">
        <v>745</v>
      </c>
      <c r="H32" s="15" t="s">
        <v>747</v>
      </c>
      <c r="I32" s="15" t="s">
        <v>748</v>
      </c>
      <c r="J32" s="15" t="s">
        <v>750</v>
      </c>
      <c r="K32" s="17" t="s">
        <v>219</v>
      </c>
      <c r="L32" s="17" t="s">
        <v>219</v>
      </c>
      <c r="M32" s="18"/>
      <c r="N32" s="17" t="s">
        <v>219</v>
      </c>
    </row>
    <row r="33" ht="15.75" customHeight="1">
      <c r="A33" s="12">
        <v>32.0</v>
      </c>
      <c r="B33" s="15" t="s">
        <v>530</v>
      </c>
      <c r="C33" s="15" t="s">
        <v>738</v>
      </c>
      <c r="D33" s="15" t="s">
        <v>756</v>
      </c>
      <c r="E33" s="15" t="s">
        <v>758</v>
      </c>
      <c r="F33" s="15" t="s">
        <v>109</v>
      </c>
      <c r="G33" s="15" t="s">
        <v>760</v>
      </c>
      <c r="H33" s="15" t="s">
        <v>762</v>
      </c>
      <c r="I33" s="15" t="s">
        <v>764</v>
      </c>
      <c r="J33" s="15" t="s">
        <v>765</v>
      </c>
      <c r="K33" s="17" t="s">
        <v>219</v>
      </c>
      <c r="L33" s="17" t="s">
        <v>219</v>
      </c>
      <c r="M33" s="18"/>
      <c r="N33" s="17" t="s">
        <v>219</v>
      </c>
    </row>
    <row r="34" ht="15.75" customHeight="1">
      <c r="A34" s="12">
        <v>33.0</v>
      </c>
      <c r="B34" s="15" t="s">
        <v>530</v>
      </c>
      <c r="C34" s="15" t="s">
        <v>768</v>
      </c>
      <c r="D34" s="15" t="s">
        <v>769</v>
      </c>
      <c r="E34" s="15" t="s">
        <v>770</v>
      </c>
      <c r="F34" s="15" t="s">
        <v>109</v>
      </c>
      <c r="G34" s="15" t="s">
        <v>773</v>
      </c>
      <c r="H34" s="15" t="s">
        <v>775</v>
      </c>
      <c r="I34" s="15" t="s">
        <v>777</v>
      </c>
      <c r="J34" s="15" t="s">
        <v>780</v>
      </c>
      <c r="K34" s="17" t="s">
        <v>219</v>
      </c>
      <c r="L34" s="17" t="s">
        <v>219</v>
      </c>
      <c r="M34" s="18"/>
      <c r="N34" s="17" t="s">
        <v>219</v>
      </c>
    </row>
    <row r="35" ht="15.75" customHeight="1">
      <c r="A35" s="12">
        <v>34.0</v>
      </c>
      <c r="B35" s="15" t="s">
        <v>530</v>
      </c>
      <c r="C35" s="15" t="s">
        <v>783</v>
      </c>
      <c r="D35" s="15" t="s">
        <v>784</v>
      </c>
      <c r="E35" s="15" t="s">
        <v>785</v>
      </c>
      <c r="F35" s="15" t="s">
        <v>109</v>
      </c>
      <c r="G35" s="15" t="s">
        <v>786</v>
      </c>
      <c r="H35" s="15" t="s">
        <v>787</v>
      </c>
      <c r="I35" s="15" t="s">
        <v>790</v>
      </c>
      <c r="J35" s="15" t="s">
        <v>792</v>
      </c>
      <c r="K35" s="17" t="s">
        <v>219</v>
      </c>
      <c r="L35" s="17" t="s">
        <v>219</v>
      </c>
      <c r="M35" s="18"/>
      <c r="N35" s="17" t="s">
        <v>219</v>
      </c>
    </row>
    <row r="36" ht="15.75" customHeight="1">
      <c r="A36" s="12">
        <v>35.0</v>
      </c>
      <c r="B36" s="15" t="s">
        <v>530</v>
      </c>
      <c r="C36" s="15" t="s">
        <v>783</v>
      </c>
      <c r="D36" s="15" t="s">
        <v>799</v>
      </c>
      <c r="E36" s="15" t="s">
        <v>801</v>
      </c>
      <c r="F36" s="15" t="s">
        <v>109</v>
      </c>
      <c r="G36" s="15" t="s">
        <v>821</v>
      </c>
      <c r="H36" s="15" t="s">
        <v>823</v>
      </c>
      <c r="I36" s="15" t="s">
        <v>824</v>
      </c>
      <c r="J36" s="15" t="s">
        <v>826</v>
      </c>
      <c r="K36" s="17" t="s">
        <v>219</v>
      </c>
      <c r="L36" s="17" t="s">
        <v>219</v>
      </c>
      <c r="M36" s="18"/>
      <c r="N36" s="17" t="s">
        <v>219</v>
      </c>
    </row>
    <row r="37" ht="15.75" customHeight="1">
      <c r="A37" s="12">
        <v>36.0</v>
      </c>
      <c r="B37" s="15" t="s">
        <v>530</v>
      </c>
      <c r="C37" s="15" t="s">
        <v>783</v>
      </c>
      <c r="D37" s="15" t="s">
        <v>838</v>
      </c>
      <c r="E37" s="15" t="s">
        <v>839</v>
      </c>
      <c r="F37" s="15" t="s">
        <v>109</v>
      </c>
      <c r="G37" s="15" t="s">
        <v>841</v>
      </c>
      <c r="H37" s="15" t="s">
        <v>843</v>
      </c>
      <c r="I37" s="15" t="s">
        <v>844</v>
      </c>
      <c r="J37" s="15" t="s">
        <v>846</v>
      </c>
      <c r="K37" s="17" t="s">
        <v>219</v>
      </c>
      <c r="L37" s="17" t="s">
        <v>219</v>
      </c>
      <c r="M37" s="18"/>
      <c r="N37" s="17" t="s">
        <v>219</v>
      </c>
    </row>
    <row r="38" ht="15.75" customHeight="1">
      <c r="A38" s="12">
        <v>37.0</v>
      </c>
      <c r="B38" s="15" t="s">
        <v>530</v>
      </c>
      <c r="C38" s="15" t="s">
        <v>853</v>
      </c>
      <c r="D38" s="15" t="s">
        <v>856</v>
      </c>
      <c r="E38" s="15" t="s">
        <v>857</v>
      </c>
      <c r="F38" s="15" t="s">
        <v>109</v>
      </c>
      <c r="G38" s="15" t="s">
        <v>859</v>
      </c>
      <c r="H38" s="15" t="s">
        <v>861</v>
      </c>
      <c r="I38" s="15" t="s">
        <v>863</v>
      </c>
      <c r="J38" s="15" t="s">
        <v>867</v>
      </c>
      <c r="K38" s="17" t="s">
        <v>219</v>
      </c>
      <c r="L38" s="17" t="s">
        <v>219</v>
      </c>
      <c r="M38" s="18"/>
      <c r="N38" s="17" t="s">
        <v>219</v>
      </c>
    </row>
    <row r="39" ht="15.75" customHeight="1">
      <c r="A39" s="12">
        <v>38.0</v>
      </c>
      <c r="B39" s="15" t="s">
        <v>530</v>
      </c>
      <c r="C39" s="15" t="s">
        <v>870</v>
      </c>
      <c r="D39" s="15" t="s">
        <v>872</v>
      </c>
      <c r="E39" s="15" t="s">
        <v>874</v>
      </c>
      <c r="F39" s="15" t="s">
        <v>109</v>
      </c>
      <c r="G39" s="15" t="s">
        <v>875</v>
      </c>
      <c r="H39" s="15" t="s">
        <v>877</v>
      </c>
      <c r="I39" s="15" t="s">
        <v>879</v>
      </c>
      <c r="J39" s="15" t="s">
        <v>882</v>
      </c>
      <c r="K39" s="17" t="s">
        <v>219</v>
      </c>
      <c r="L39" s="17" t="s">
        <v>219</v>
      </c>
      <c r="M39" s="18"/>
      <c r="N39" s="17" t="s">
        <v>219</v>
      </c>
    </row>
    <row r="40" ht="15.75" customHeight="1">
      <c r="A40" s="12">
        <v>39.0</v>
      </c>
      <c r="B40" s="15" t="s">
        <v>530</v>
      </c>
      <c r="C40" s="15" t="s">
        <v>532</v>
      </c>
      <c r="D40" s="15" t="s">
        <v>886</v>
      </c>
      <c r="E40" s="15" t="s">
        <v>889</v>
      </c>
      <c r="F40" s="15" t="s">
        <v>109</v>
      </c>
      <c r="G40" s="15" t="s">
        <v>891</v>
      </c>
      <c r="H40" s="15" t="s">
        <v>892</v>
      </c>
      <c r="I40" s="15" t="s">
        <v>894</v>
      </c>
      <c r="J40" s="15" t="s">
        <v>895</v>
      </c>
      <c r="K40" s="17" t="s">
        <v>219</v>
      </c>
      <c r="L40" s="17" t="s">
        <v>219</v>
      </c>
      <c r="M40" s="18"/>
      <c r="N40" s="17" t="s">
        <v>219</v>
      </c>
    </row>
    <row r="41" ht="15.75" customHeight="1">
      <c r="A41" s="12">
        <v>40.0</v>
      </c>
      <c r="B41" s="15" t="s">
        <v>900</v>
      </c>
      <c r="C41" s="15" t="s">
        <v>902</v>
      </c>
      <c r="D41" s="15" t="s">
        <v>903</v>
      </c>
      <c r="E41" s="15" t="s">
        <v>905</v>
      </c>
      <c r="F41" s="15" t="s">
        <v>109</v>
      </c>
      <c r="G41" s="15" t="s">
        <v>907</v>
      </c>
      <c r="H41" s="15" t="s">
        <v>908</v>
      </c>
      <c r="I41" s="15" t="s">
        <v>913</v>
      </c>
      <c r="J41" s="15" t="s">
        <v>915</v>
      </c>
      <c r="K41" s="17" t="s">
        <v>125</v>
      </c>
      <c r="L41" s="17" t="s">
        <v>125</v>
      </c>
      <c r="M41" s="18"/>
      <c r="N41" s="17" t="s">
        <v>131</v>
      </c>
    </row>
    <row r="42" ht="15.75" customHeight="1">
      <c r="A42" s="12">
        <v>41.0</v>
      </c>
      <c r="B42" s="15" t="s">
        <v>900</v>
      </c>
      <c r="C42" s="15" t="s">
        <v>36</v>
      </c>
      <c r="D42" s="15" t="s">
        <v>922</v>
      </c>
      <c r="E42" s="15" t="s">
        <v>924</v>
      </c>
      <c r="F42" s="15" t="s">
        <v>109</v>
      </c>
      <c r="G42" s="15" t="s">
        <v>926</v>
      </c>
      <c r="H42" s="15" t="s">
        <v>927</v>
      </c>
      <c r="I42" s="15" t="s">
        <v>928</v>
      </c>
      <c r="J42" s="15" t="s">
        <v>929</v>
      </c>
      <c r="K42" s="17" t="s">
        <v>125</v>
      </c>
      <c r="L42" s="17" t="s">
        <v>125</v>
      </c>
      <c r="M42" s="18"/>
      <c r="N42" s="17" t="s">
        <v>131</v>
      </c>
    </row>
    <row r="43" ht="15.75" customHeight="1">
      <c r="A43" s="12">
        <v>42.0</v>
      </c>
      <c r="B43" s="15" t="s">
        <v>900</v>
      </c>
      <c r="C43" s="15" t="s">
        <v>36</v>
      </c>
      <c r="D43" s="15" t="s">
        <v>936</v>
      </c>
      <c r="E43" s="15" t="s">
        <v>938</v>
      </c>
      <c r="F43" s="15" t="s">
        <v>109</v>
      </c>
      <c r="G43" s="15" t="s">
        <v>940</v>
      </c>
      <c r="H43" s="15" t="s">
        <v>942</v>
      </c>
      <c r="I43" s="15" t="s">
        <v>944</v>
      </c>
      <c r="J43" s="15" t="s">
        <v>946</v>
      </c>
      <c r="K43" s="17" t="s">
        <v>125</v>
      </c>
      <c r="L43" s="17" t="s">
        <v>125</v>
      </c>
      <c r="M43" s="18"/>
      <c r="N43" s="17" t="s">
        <v>131</v>
      </c>
    </row>
    <row r="44" ht="15.75" customHeight="1">
      <c r="A44" s="12">
        <v>43.0</v>
      </c>
      <c r="B44" s="15" t="s">
        <v>900</v>
      </c>
      <c r="C44" s="15" t="s">
        <v>953</v>
      </c>
      <c r="D44" s="15" t="s">
        <v>954</v>
      </c>
      <c r="E44" s="15" t="s">
        <v>955</v>
      </c>
      <c r="F44" s="15" t="s">
        <v>109</v>
      </c>
      <c r="G44" s="15" t="s">
        <v>958</v>
      </c>
      <c r="H44" s="15" t="s">
        <v>961</v>
      </c>
      <c r="I44" s="15" t="s">
        <v>964</v>
      </c>
      <c r="J44" s="15" t="s">
        <v>966</v>
      </c>
      <c r="K44" s="17" t="s">
        <v>125</v>
      </c>
      <c r="L44" s="17" t="s">
        <v>125</v>
      </c>
      <c r="M44" s="18"/>
      <c r="N44" s="17" t="s">
        <v>131</v>
      </c>
    </row>
    <row r="45" ht="15.75" customHeight="1">
      <c r="A45" s="12">
        <v>44.0</v>
      </c>
      <c r="B45" s="15" t="s">
        <v>900</v>
      </c>
      <c r="C45" s="15" t="s">
        <v>953</v>
      </c>
      <c r="D45" s="15" t="s">
        <v>973</v>
      </c>
      <c r="E45" s="15" t="s">
        <v>975</v>
      </c>
      <c r="F45" s="15" t="s">
        <v>109</v>
      </c>
      <c r="G45" s="15" t="s">
        <v>977</v>
      </c>
      <c r="H45" s="15" t="s">
        <v>978</v>
      </c>
      <c r="I45" s="15" t="s">
        <v>979</v>
      </c>
      <c r="J45" s="15" t="s">
        <v>914</v>
      </c>
      <c r="K45" s="17" t="s">
        <v>125</v>
      </c>
      <c r="L45" s="17" t="s">
        <v>125</v>
      </c>
      <c r="M45" s="18"/>
      <c r="N45" s="17" t="s">
        <v>131</v>
      </c>
    </row>
    <row r="46" ht="15.75" customHeight="1">
      <c r="A46" s="12">
        <v>45.0</v>
      </c>
      <c r="B46" s="15" t="s">
        <v>900</v>
      </c>
      <c r="C46" s="15" t="s">
        <v>953</v>
      </c>
      <c r="D46" s="15" t="s">
        <v>988</v>
      </c>
      <c r="E46" s="15" t="s">
        <v>989</v>
      </c>
      <c r="F46" s="15" t="s">
        <v>109</v>
      </c>
      <c r="G46" s="15" t="s">
        <v>991</v>
      </c>
      <c r="H46" s="15" t="s">
        <v>993</v>
      </c>
      <c r="I46" s="15" t="s">
        <v>561</v>
      </c>
      <c r="J46" s="15" t="s">
        <v>383</v>
      </c>
      <c r="K46" s="17" t="s">
        <v>125</v>
      </c>
      <c r="L46" s="17" t="s">
        <v>125</v>
      </c>
      <c r="M46" s="18"/>
      <c r="N46" s="17" t="s">
        <v>131</v>
      </c>
    </row>
    <row r="47" ht="15.75" customHeight="1">
      <c r="A47" s="12">
        <v>46.0</v>
      </c>
      <c r="B47" s="15" t="s">
        <v>900</v>
      </c>
      <c r="C47" s="15" t="s">
        <v>953</v>
      </c>
      <c r="D47" s="15" t="s">
        <v>1002</v>
      </c>
      <c r="E47" s="15" t="s">
        <v>1003</v>
      </c>
      <c r="F47" s="15" t="s">
        <v>109</v>
      </c>
      <c r="G47" s="15" t="s">
        <v>1004</v>
      </c>
      <c r="H47" s="15" t="s">
        <v>1005</v>
      </c>
      <c r="I47" s="15" t="s">
        <v>1006</v>
      </c>
      <c r="J47" s="15" t="s">
        <v>1007</v>
      </c>
      <c r="K47" s="17" t="s">
        <v>125</v>
      </c>
      <c r="L47" s="17" t="s">
        <v>125</v>
      </c>
      <c r="M47" s="18"/>
      <c r="N47" s="17" t="s">
        <v>131</v>
      </c>
    </row>
    <row r="48" ht="15.75" customHeight="1">
      <c r="A48" s="12">
        <v>47.0</v>
      </c>
      <c r="B48" s="15" t="s">
        <v>900</v>
      </c>
      <c r="C48" s="15" t="s">
        <v>36</v>
      </c>
      <c r="D48" s="15" t="s">
        <v>1016</v>
      </c>
      <c r="E48" s="15" t="s">
        <v>1017</v>
      </c>
      <c r="F48" s="15" t="s">
        <v>109</v>
      </c>
      <c r="G48" s="15" t="s">
        <v>1018</v>
      </c>
      <c r="H48" s="15" t="s">
        <v>1019</v>
      </c>
      <c r="I48" s="15" t="s">
        <v>1020</v>
      </c>
      <c r="J48" s="15" t="s">
        <v>1022</v>
      </c>
      <c r="K48" s="17" t="s">
        <v>125</v>
      </c>
      <c r="L48" s="17" t="s">
        <v>125</v>
      </c>
      <c r="M48" s="18"/>
      <c r="N48" s="17" t="s">
        <v>131</v>
      </c>
    </row>
    <row r="49" ht="15.75" customHeight="1">
      <c r="A49" s="12">
        <v>48.0</v>
      </c>
      <c r="B49" s="15" t="s">
        <v>900</v>
      </c>
      <c r="C49" s="15" t="s">
        <v>1030</v>
      </c>
      <c r="D49" s="15" t="s">
        <v>1032</v>
      </c>
      <c r="E49" s="15" t="s">
        <v>1034</v>
      </c>
      <c r="F49" s="15" t="s">
        <v>109</v>
      </c>
      <c r="G49" s="15" t="s">
        <v>1037</v>
      </c>
      <c r="H49" s="15" t="s">
        <v>1038</v>
      </c>
      <c r="I49" s="15" t="s">
        <v>1040</v>
      </c>
      <c r="J49" s="15" t="s">
        <v>1042</v>
      </c>
      <c r="K49" s="17" t="s">
        <v>125</v>
      </c>
      <c r="L49" s="17" t="s">
        <v>125</v>
      </c>
      <c r="M49" s="18"/>
      <c r="N49" s="17" t="s">
        <v>131</v>
      </c>
    </row>
    <row r="50" ht="15.75" customHeight="1">
      <c r="A50" s="12">
        <v>49.0</v>
      </c>
      <c r="B50" s="15" t="s">
        <v>900</v>
      </c>
      <c r="C50" s="15" t="s">
        <v>902</v>
      </c>
      <c r="D50" s="15" t="s">
        <v>1050</v>
      </c>
      <c r="E50" s="15" t="s">
        <v>1053</v>
      </c>
      <c r="F50" s="15" t="s">
        <v>109</v>
      </c>
      <c r="G50" s="15" t="s">
        <v>1057</v>
      </c>
      <c r="H50" s="15" t="s">
        <v>1059</v>
      </c>
      <c r="I50" s="15" t="s">
        <v>1061</v>
      </c>
      <c r="J50" s="15" t="s">
        <v>1063</v>
      </c>
      <c r="K50" s="17" t="s">
        <v>131</v>
      </c>
      <c r="L50" s="17" t="s">
        <v>131</v>
      </c>
      <c r="M50" s="18"/>
      <c r="N50" s="17" t="s">
        <v>131</v>
      </c>
    </row>
    <row r="51" ht="15.75" customHeight="1">
      <c r="A51" s="12">
        <v>50.0</v>
      </c>
      <c r="B51" s="15" t="s">
        <v>900</v>
      </c>
      <c r="C51" s="15" t="s">
        <v>902</v>
      </c>
      <c r="D51" s="15" t="s">
        <v>1076</v>
      </c>
      <c r="E51" s="15" t="s">
        <v>1080</v>
      </c>
      <c r="F51" s="15" t="s">
        <v>109</v>
      </c>
      <c r="G51" s="15" t="s">
        <v>1082</v>
      </c>
      <c r="H51" s="15" t="s">
        <v>1084</v>
      </c>
      <c r="I51" s="15" t="s">
        <v>1086</v>
      </c>
      <c r="J51" s="15" t="s">
        <v>1087</v>
      </c>
      <c r="K51" s="17" t="s">
        <v>131</v>
      </c>
      <c r="L51" s="17" t="s">
        <v>131</v>
      </c>
      <c r="M51" s="18"/>
      <c r="N51" s="17" t="s">
        <v>131</v>
      </c>
    </row>
    <row r="52" ht="15.75" customHeight="1">
      <c r="A52" s="12">
        <v>51.0</v>
      </c>
      <c r="B52" s="15" t="s">
        <v>900</v>
      </c>
      <c r="C52" s="15" t="s">
        <v>953</v>
      </c>
      <c r="D52" s="15" t="s">
        <v>1094</v>
      </c>
      <c r="E52" s="15" t="s">
        <v>1097</v>
      </c>
      <c r="F52" s="15" t="s">
        <v>109</v>
      </c>
      <c r="G52" s="15" t="s">
        <v>1099</v>
      </c>
      <c r="H52" s="15" t="s">
        <v>1101</v>
      </c>
      <c r="I52" s="15" t="s">
        <v>1103</v>
      </c>
      <c r="J52" s="15" t="s">
        <v>1105</v>
      </c>
      <c r="K52" s="17" t="s">
        <v>131</v>
      </c>
      <c r="L52" s="17" t="s">
        <v>131</v>
      </c>
      <c r="M52" s="18"/>
      <c r="N52" s="17" t="s">
        <v>131</v>
      </c>
    </row>
    <row r="53" ht="15.75" customHeight="1">
      <c r="A53" s="12">
        <v>52.0</v>
      </c>
      <c r="B53" s="15" t="s">
        <v>900</v>
      </c>
      <c r="C53" s="15" t="s">
        <v>953</v>
      </c>
      <c r="D53" s="15" t="s">
        <v>1115</v>
      </c>
      <c r="E53" s="15" t="s">
        <v>1116</v>
      </c>
      <c r="F53" s="15" t="s">
        <v>109</v>
      </c>
      <c r="G53" s="15" t="s">
        <v>1117</v>
      </c>
      <c r="H53" s="15" t="s">
        <v>1118</v>
      </c>
      <c r="I53" s="15" t="s">
        <v>1121</v>
      </c>
      <c r="J53" s="15" t="s">
        <v>1123</v>
      </c>
      <c r="K53" s="17" t="s">
        <v>131</v>
      </c>
      <c r="L53" s="17" t="s">
        <v>131</v>
      </c>
      <c r="M53" s="18"/>
      <c r="N53" s="17" t="s">
        <v>131</v>
      </c>
    </row>
    <row r="54" ht="15.75" customHeight="1">
      <c r="A54" s="12">
        <v>53.0</v>
      </c>
      <c r="B54" s="15" t="s">
        <v>900</v>
      </c>
      <c r="C54" s="15" t="s">
        <v>1129</v>
      </c>
      <c r="D54" s="15" t="s">
        <v>1131</v>
      </c>
      <c r="E54" s="15" t="s">
        <v>1132</v>
      </c>
      <c r="F54" s="15" t="s">
        <v>109</v>
      </c>
      <c r="G54" s="15" t="s">
        <v>1136</v>
      </c>
      <c r="H54" s="15" t="s">
        <v>1139</v>
      </c>
      <c r="I54" s="15" t="s">
        <v>1142</v>
      </c>
      <c r="J54" s="15" t="s">
        <v>1143</v>
      </c>
      <c r="K54" s="17" t="s">
        <v>131</v>
      </c>
      <c r="L54" s="17" t="s">
        <v>131</v>
      </c>
      <c r="M54" s="18"/>
      <c r="N54" s="17" t="s">
        <v>131</v>
      </c>
    </row>
    <row r="55" ht="15.75" customHeight="1">
      <c r="A55" s="12">
        <v>54.0</v>
      </c>
      <c r="B55" s="15" t="s">
        <v>900</v>
      </c>
      <c r="C55" s="15" t="s">
        <v>953</v>
      </c>
      <c r="D55" s="15" t="s">
        <v>1154</v>
      </c>
      <c r="E55" s="15" t="s">
        <v>1155</v>
      </c>
      <c r="F55" s="15" t="s">
        <v>109</v>
      </c>
      <c r="G55" s="15" t="s">
        <v>1159</v>
      </c>
      <c r="H55" s="15" t="s">
        <v>1161</v>
      </c>
      <c r="I55" s="15" t="s">
        <v>1164</v>
      </c>
      <c r="J55" s="15" t="s">
        <v>1166</v>
      </c>
      <c r="K55" s="17" t="s">
        <v>131</v>
      </c>
      <c r="L55" s="17" t="s">
        <v>131</v>
      </c>
      <c r="M55" s="18"/>
      <c r="N55" s="17" t="s">
        <v>131</v>
      </c>
    </row>
    <row r="56" ht="15.75" customHeight="1">
      <c r="A56" s="12">
        <v>55.0</v>
      </c>
      <c r="B56" s="15" t="s">
        <v>900</v>
      </c>
      <c r="C56" s="15" t="s">
        <v>1171</v>
      </c>
      <c r="D56" s="15" t="s">
        <v>1199</v>
      </c>
      <c r="E56" s="15" t="s">
        <v>1201</v>
      </c>
      <c r="F56" s="15" t="s">
        <v>109</v>
      </c>
      <c r="G56" s="15" t="s">
        <v>1202</v>
      </c>
      <c r="H56" s="15" t="s">
        <v>1204</v>
      </c>
      <c r="I56" s="15" t="s">
        <v>1205</v>
      </c>
      <c r="J56" s="15" t="s">
        <v>1206</v>
      </c>
      <c r="K56" s="17" t="s">
        <v>125</v>
      </c>
      <c r="L56" s="17" t="s">
        <v>125</v>
      </c>
      <c r="M56" s="18"/>
      <c r="N56" s="17" t="s">
        <v>131</v>
      </c>
    </row>
    <row r="57" ht="15.75" customHeight="1">
      <c r="A57" s="12">
        <v>56.0</v>
      </c>
      <c r="B57" s="15" t="s">
        <v>900</v>
      </c>
      <c r="C57" s="15" t="s">
        <v>1171</v>
      </c>
      <c r="D57" s="15" t="s">
        <v>1214</v>
      </c>
      <c r="E57" s="15" t="s">
        <v>1216</v>
      </c>
      <c r="F57" s="15" t="s">
        <v>109</v>
      </c>
      <c r="G57" s="15" t="s">
        <v>1219</v>
      </c>
      <c r="H57" s="15" t="s">
        <v>1221</v>
      </c>
      <c r="I57" s="15" t="s">
        <v>1223</v>
      </c>
      <c r="J57" s="15" t="s">
        <v>1225</v>
      </c>
      <c r="K57" s="17" t="s">
        <v>125</v>
      </c>
      <c r="L57" s="17" t="s">
        <v>125</v>
      </c>
      <c r="M57" s="18"/>
      <c r="N57" s="17" t="s">
        <v>131</v>
      </c>
    </row>
    <row r="58" ht="15.75" customHeight="1">
      <c r="A58" s="12">
        <v>57.0</v>
      </c>
      <c r="B58" s="15" t="s">
        <v>41</v>
      </c>
      <c r="C58" s="15" t="s">
        <v>1230</v>
      </c>
      <c r="D58" s="15" t="s">
        <v>1231</v>
      </c>
      <c r="E58" s="15" t="s">
        <v>1232</v>
      </c>
      <c r="F58" s="15" t="s">
        <v>109</v>
      </c>
      <c r="G58" s="15" t="s">
        <v>1236</v>
      </c>
      <c r="H58" s="15" t="s">
        <v>1238</v>
      </c>
      <c r="I58" s="15" t="s">
        <v>1239</v>
      </c>
      <c r="J58" s="15" t="s">
        <v>1241</v>
      </c>
      <c r="K58" s="17" t="s">
        <v>125</v>
      </c>
      <c r="L58" s="17" t="s">
        <v>125</v>
      </c>
      <c r="M58" s="18"/>
      <c r="N58" s="17" t="s">
        <v>131</v>
      </c>
    </row>
    <row r="59" ht="15.75" customHeight="1">
      <c r="A59" s="12">
        <v>58.0</v>
      </c>
      <c r="B59" s="15" t="s">
        <v>41</v>
      </c>
      <c r="C59" s="15" t="s">
        <v>1245</v>
      </c>
      <c r="D59" s="15" t="s">
        <v>1247</v>
      </c>
      <c r="E59" s="15" t="s">
        <v>1248</v>
      </c>
      <c r="F59" s="15" t="s">
        <v>109</v>
      </c>
      <c r="G59" s="15" t="s">
        <v>1250</v>
      </c>
      <c r="H59" s="15" t="s">
        <v>1252</v>
      </c>
      <c r="I59" s="15" t="s">
        <v>1254</v>
      </c>
      <c r="J59" s="15" t="s">
        <v>1256</v>
      </c>
      <c r="K59" s="17" t="s">
        <v>125</v>
      </c>
      <c r="L59" s="17" t="s">
        <v>125</v>
      </c>
      <c r="M59" s="18"/>
      <c r="N59" s="17" t="s">
        <v>131</v>
      </c>
    </row>
    <row r="60" ht="15.75" customHeight="1">
      <c r="A60" s="12">
        <v>59.0</v>
      </c>
      <c r="B60" s="15" t="s">
        <v>41</v>
      </c>
      <c r="C60" s="15" t="s">
        <v>1245</v>
      </c>
      <c r="D60" s="15" t="s">
        <v>1261</v>
      </c>
      <c r="E60" s="15" t="s">
        <v>1262</v>
      </c>
      <c r="F60" s="15" t="s">
        <v>109</v>
      </c>
      <c r="G60" s="15" t="s">
        <v>1265</v>
      </c>
      <c r="H60" s="15" t="s">
        <v>1266</v>
      </c>
      <c r="I60" s="15" t="s">
        <v>1268</v>
      </c>
      <c r="J60" s="15" t="s">
        <v>1269</v>
      </c>
      <c r="K60" s="17" t="s">
        <v>125</v>
      </c>
      <c r="L60" s="17" t="s">
        <v>125</v>
      </c>
      <c r="M60" s="18"/>
      <c r="N60" s="17" t="s">
        <v>131</v>
      </c>
    </row>
    <row r="61" ht="15.75" customHeight="1">
      <c r="A61" s="12">
        <v>60.0</v>
      </c>
      <c r="B61" s="15" t="s">
        <v>41</v>
      </c>
      <c r="C61" s="15" t="s">
        <v>1272</v>
      </c>
      <c r="D61" s="15" t="s">
        <v>1273</v>
      </c>
      <c r="E61" s="15" t="s">
        <v>1275</v>
      </c>
      <c r="F61" s="15" t="s">
        <v>109</v>
      </c>
      <c r="G61" s="15" t="s">
        <v>1277</v>
      </c>
      <c r="H61" s="15" t="s">
        <v>1279</v>
      </c>
      <c r="I61" s="15" t="s">
        <v>1282</v>
      </c>
      <c r="J61" s="15" t="s">
        <v>1283</v>
      </c>
      <c r="K61" s="17" t="s">
        <v>125</v>
      </c>
      <c r="L61" s="17" t="s">
        <v>125</v>
      </c>
      <c r="M61" s="18"/>
      <c r="N61" s="17" t="s">
        <v>131</v>
      </c>
    </row>
    <row r="62" ht="15.75" customHeight="1">
      <c r="A62" s="12">
        <v>61.0</v>
      </c>
      <c r="B62" s="15" t="s">
        <v>1288</v>
      </c>
      <c r="C62" s="15" t="s">
        <v>53</v>
      </c>
      <c r="D62" s="15" t="s">
        <v>1290</v>
      </c>
      <c r="E62" s="15" t="s">
        <v>1292</v>
      </c>
      <c r="F62" s="15" t="s">
        <v>109</v>
      </c>
      <c r="G62" s="15" t="s">
        <v>1294</v>
      </c>
      <c r="H62" s="15" t="s">
        <v>1296</v>
      </c>
      <c r="I62" s="15" t="s">
        <v>1298</v>
      </c>
      <c r="J62" s="15" t="s">
        <v>1299</v>
      </c>
      <c r="K62" s="17" t="s">
        <v>219</v>
      </c>
      <c r="L62" s="17" t="s">
        <v>219</v>
      </c>
      <c r="M62" s="18"/>
      <c r="N62" s="17" t="s">
        <v>219</v>
      </c>
    </row>
    <row r="63" ht="15.75" customHeight="1">
      <c r="A63" s="12">
        <v>62.0</v>
      </c>
      <c r="B63" s="15" t="s">
        <v>1288</v>
      </c>
      <c r="C63" s="15" t="s">
        <v>53</v>
      </c>
      <c r="D63" s="15" t="s">
        <v>1302</v>
      </c>
      <c r="E63" s="15" t="s">
        <v>1303</v>
      </c>
      <c r="F63" s="15" t="s">
        <v>109</v>
      </c>
      <c r="G63" s="15" t="s">
        <v>1304</v>
      </c>
      <c r="H63" s="15" t="s">
        <v>1306</v>
      </c>
      <c r="I63" s="15" t="s">
        <v>215</v>
      </c>
      <c r="J63" s="15" t="s">
        <v>1308</v>
      </c>
      <c r="K63" s="17" t="s">
        <v>219</v>
      </c>
      <c r="L63" s="17" t="s">
        <v>219</v>
      </c>
      <c r="M63" s="18"/>
      <c r="N63" s="17" t="s">
        <v>219</v>
      </c>
    </row>
    <row r="64" ht="15.75" customHeight="1">
      <c r="A64" s="12">
        <v>63.0</v>
      </c>
      <c r="B64" s="15" t="s">
        <v>1288</v>
      </c>
      <c r="C64" s="15" t="s">
        <v>53</v>
      </c>
      <c r="D64" s="15" t="s">
        <v>1315</v>
      </c>
      <c r="E64" s="15" t="s">
        <v>1317</v>
      </c>
      <c r="F64" s="15" t="s">
        <v>109</v>
      </c>
      <c r="G64" s="15" t="s">
        <v>1320</v>
      </c>
      <c r="H64" s="15" t="s">
        <v>1322</v>
      </c>
      <c r="I64" s="15" t="s">
        <v>1324</v>
      </c>
      <c r="J64" s="15" t="s">
        <v>1325</v>
      </c>
      <c r="K64" s="17" t="s">
        <v>219</v>
      </c>
      <c r="L64" s="17" t="s">
        <v>219</v>
      </c>
      <c r="M64" s="18"/>
      <c r="N64" s="17" t="s">
        <v>219</v>
      </c>
    </row>
    <row r="65" ht="15.75" customHeight="1">
      <c r="A65" s="12">
        <v>64.0</v>
      </c>
      <c r="B65" s="15" t="s">
        <v>1288</v>
      </c>
      <c r="C65" s="15" t="s">
        <v>47</v>
      </c>
      <c r="D65" s="15" t="s">
        <v>1335</v>
      </c>
      <c r="E65" s="15" t="s">
        <v>1337</v>
      </c>
      <c r="F65" s="15" t="s">
        <v>109</v>
      </c>
      <c r="G65" s="15" t="s">
        <v>1339</v>
      </c>
      <c r="H65" s="15" t="s">
        <v>1341</v>
      </c>
      <c r="I65" s="15" t="s">
        <v>1342</v>
      </c>
      <c r="J65" s="15" t="s">
        <v>1344</v>
      </c>
      <c r="K65" s="17" t="s">
        <v>219</v>
      </c>
      <c r="L65" s="17" t="s">
        <v>219</v>
      </c>
      <c r="M65" s="18"/>
      <c r="N65" s="17" t="s">
        <v>219</v>
      </c>
    </row>
    <row r="66" ht="15.75" customHeight="1">
      <c r="A66" s="12">
        <v>65.0</v>
      </c>
      <c r="B66" s="15" t="s">
        <v>1288</v>
      </c>
      <c r="C66" s="15" t="s">
        <v>47</v>
      </c>
      <c r="D66" s="15" t="s">
        <v>1350</v>
      </c>
      <c r="E66" s="15" t="s">
        <v>1351</v>
      </c>
      <c r="F66" s="15" t="s">
        <v>109</v>
      </c>
      <c r="G66" s="15" t="s">
        <v>1353</v>
      </c>
      <c r="H66" s="15" t="s">
        <v>1355</v>
      </c>
      <c r="I66" s="15" t="s">
        <v>1356</v>
      </c>
      <c r="J66" s="15" t="s">
        <v>1358</v>
      </c>
      <c r="K66" s="17" t="s">
        <v>219</v>
      </c>
      <c r="L66" s="17" t="s">
        <v>219</v>
      </c>
      <c r="M66" s="18"/>
      <c r="N66" s="17" t="s">
        <v>219</v>
      </c>
    </row>
    <row r="67" ht="15.75" customHeight="1">
      <c r="A67" s="12">
        <v>66.0</v>
      </c>
      <c r="B67" s="15" t="s">
        <v>1288</v>
      </c>
      <c r="C67" s="15" t="s">
        <v>47</v>
      </c>
      <c r="D67" s="15" t="s">
        <v>1367</v>
      </c>
      <c r="E67" s="15" t="s">
        <v>1369</v>
      </c>
      <c r="F67" s="15" t="s">
        <v>109</v>
      </c>
      <c r="G67" s="15" t="s">
        <v>1372</v>
      </c>
      <c r="H67" s="15" t="s">
        <v>1376</v>
      </c>
      <c r="I67" s="15" t="s">
        <v>215</v>
      </c>
      <c r="J67" s="15" t="s">
        <v>1379</v>
      </c>
      <c r="K67" s="17" t="s">
        <v>219</v>
      </c>
      <c r="L67" s="17" t="s">
        <v>219</v>
      </c>
      <c r="M67" s="18"/>
      <c r="N67" s="17" t="s">
        <v>219</v>
      </c>
    </row>
    <row r="68" ht="15.75" customHeight="1">
      <c r="A68" s="12">
        <v>67.0</v>
      </c>
      <c r="B68" s="15" t="s">
        <v>1288</v>
      </c>
      <c r="C68" s="15" t="s">
        <v>53</v>
      </c>
      <c r="D68" s="15" t="s">
        <v>1380</v>
      </c>
      <c r="E68" s="15" t="s">
        <v>1382</v>
      </c>
      <c r="F68" s="15" t="s">
        <v>109</v>
      </c>
      <c r="G68" s="15" t="s">
        <v>1384</v>
      </c>
      <c r="H68" s="15" t="s">
        <v>1385</v>
      </c>
      <c r="I68" s="15" t="s">
        <v>215</v>
      </c>
      <c r="J68" s="15" t="s">
        <v>1386</v>
      </c>
      <c r="K68" s="17" t="s">
        <v>219</v>
      </c>
      <c r="L68" s="17" t="s">
        <v>219</v>
      </c>
      <c r="M68" s="18"/>
      <c r="N68" s="17" t="s">
        <v>219</v>
      </c>
    </row>
    <row r="69" ht="15.75" customHeight="1">
      <c r="A69" s="12">
        <v>68.0</v>
      </c>
      <c r="B69" s="15" t="s">
        <v>1288</v>
      </c>
      <c r="C69" s="15" t="s">
        <v>53</v>
      </c>
      <c r="D69" s="15" t="s">
        <v>1393</v>
      </c>
      <c r="E69" s="15" t="s">
        <v>1394</v>
      </c>
      <c r="F69" s="15" t="s">
        <v>109</v>
      </c>
      <c r="G69" s="15" t="s">
        <v>1397</v>
      </c>
      <c r="H69" s="15" t="s">
        <v>1398</v>
      </c>
      <c r="I69" s="15" t="s">
        <v>1399</v>
      </c>
      <c r="J69" s="15" t="s">
        <v>1400</v>
      </c>
      <c r="K69" s="17" t="s">
        <v>219</v>
      </c>
      <c r="L69" s="17" t="s">
        <v>219</v>
      </c>
      <c r="M69" s="18"/>
      <c r="N69" s="17" t="s">
        <v>219</v>
      </c>
    </row>
    <row r="70" ht="15.75" customHeight="1">
      <c r="A70" s="12">
        <v>69.0</v>
      </c>
      <c r="B70" s="15" t="s">
        <v>1288</v>
      </c>
      <c r="C70" s="15" t="s">
        <v>1406</v>
      </c>
      <c r="D70" s="15" t="s">
        <v>1407</v>
      </c>
      <c r="E70" s="15" t="s">
        <v>1408</v>
      </c>
      <c r="F70" s="15" t="s">
        <v>109</v>
      </c>
      <c r="G70" s="15" t="s">
        <v>1411</v>
      </c>
      <c r="H70" s="15" t="s">
        <v>1413</v>
      </c>
      <c r="I70" s="15" t="s">
        <v>1415</v>
      </c>
      <c r="J70" s="15" t="s">
        <v>1417</v>
      </c>
      <c r="K70" s="17" t="s">
        <v>219</v>
      </c>
      <c r="L70" s="17" t="s">
        <v>219</v>
      </c>
      <c r="M70" s="18"/>
      <c r="N70" s="17" t="s">
        <v>219</v>
      </c>
    </row>
    <row r="71" ht="15.75" customHeight="1">
      <c r="A71" s="12">
        <v>70.0</v>
      </c>
      <c r="B71" s="15" t="s">
        <v>1288</v>
      </c>
      <c r="C71" s="15" t="s">
        <v>1422</v>
      </c>
      <c r="D71" s="15" t="s">
        <v>1423</v>
      </c>
      <c r="E71" s="15" t="s">
        <v>1424</v>
      </c>
      <c r="F71" s="15" t="s">
        <v>109</v>
      </c>
      <c r="G71" s="15" t="s">
        <v>1426</v>
      </c>
      <c r="H71" s="15" t="s">
        <v>1427</v>
      </c>
      <c r="I71" s="15" t="s">
        <v>1430</v>
      </c>
      <c r="J71" s="15" t="s">
        <v>1433</v>
      </c>
      <c r="K71" s="17" t="s">
        <v>219</v>
      </c>
      <c r="L71" s="17" t="s">
        <v>219</v>
      </c>
      <c r="M71" s="18"/>
      <c r="N71" s="17" t="s">
        <v>219</v>
      </c>
    </row>
    <row r="72" ht="15.75" customHeight="1">
      <c r="A72" s="12">
        <v>71.0</v>
      </c>
      <c r="B72" s="15" t="s">
        <v>1288</v>
      </c>
      <c r="C72" s="15" t="s">
        <v>1422</v>
      </c>
      <c r="D72" s="15" t="s">
        <v>1440</v>
      </c>
      <c r="E72" s="15" t="s">
        <v>1443</v>
      </c>
      <c r="F72" s="15" t="s">
        <v>109</v>
      </c>
      <c r="G72" s="15" t="s">
        <v>1444</v>
      </c>
      <c r="H72" s="15" t="s">
        <v>1446</v>
      </c>
      <c r="I72" s="15" t="s">
        <v>1448</v>
      </c>
      <c r="J72" s="15" t="s">
        <v>1449</v>
      </c>
      <c r="K72" s="17" t="s">
        <v>219</v>
      </c>
      <c r="L72" s="17" t="s">
        <v>219</v>
      </c>
      <c r="M72" s="18"/>
      <c r="N72" s="17" t="s">
        <v>219</v>
      </c>
    </row>
    <row r="73" ht="15.75" customHeight="1">
      <c r="A73" s="12">
        <v>72.0</v>
      </c>
      <c r="B73" s="15" t="s">
        <v>1288</v>
      </c>
      <c r="C73" s="15" t="s">
        <v>1422</v>
      </c>
      <c r="D73" s="15" t="s">
        <v>1457</v>
      </c>
      <c r="E73" s="15" t="s">
        <v>1458</v>
      </c>
      <c r="F73" s="15" t="s">
        <v>109</v>
      </c>
      <c r="G73" s="15" t="s">
        <v>1459</v>
      </c>
      <c r="H73" s="15" t="s">
        <v>1460</v>
      </c>
      <c r="I73" s="15" t="s">
        <v>215</v>
      </c>
      <c r="J73" s="15" t="s">
        <v>1463</v>
      </c>
      <c r="K73" s="17" t="s">
        <v>219</v>
      </c>
      <c r="L73" s="17" t="s">
        <v>219</v>
      </c>
      <c r="M73" s="18"/>
      <c r="N73" s="17" t="s">
        <v>219</v>
      </c>
    </row>
    <row r="74" ht="15.75" customHeight="1">
      <c r="A74" s="12">
        <v>73.0</v>
      </c>
      <c r="B74" s="15" t="s">
        <v>1471</v>
      </c>
      <c r="C74" s="15" t="s">
        <v>63</v>
      </c>
      <c r="D74" s="15" t="s">
        <v>1472</v>
      </c>
      <c r="E74" s="15" t="s">
        <v>1473</v>
      </c>
      <c r="F74" s="15" t="s">
        <v>109</v>
      </c>
      <c r="G74" s="15" t="s">
        <v>1474</v>
      </c>
      <c r="H74" s="15" t="s">
        <v>1476</v>
      </c>
      <c r="I74" s="15" t="s">
        <v>215</v>
      </c>
      <c r="J74" s="15" t="s">
        <v>1479</v>
      </c>
      <c r="K74" s="17" t="s">
        <v>219</v>
      </c>
      <c r="L74" s="17" t="s">
        <v>219</v>
      </c>
      <c r="M74" s="18"/>
      <c r="N74" s="17" t="s">
        <v>219</v>
      </c>
    </row>
    <row r="75" ht="15.75" customHeight="1">
      <c r="A75" s="12">
        <v>74.0</v>
      </c>
      <c r="B75" s="15" t="s">
        <v>1471</v>
      </c>
      <c r="C75" s="15" t="s">
        <v>63</v>
      </c>
      <c r="D75" s="15" t="s">
        <v>1485</v>
      </c>
      <c r="E75" s="15" t="s">
        <v>1486</v>
      </c>
      <c r="F75" s="15" t="s">
        <v>109</v>
      </c>
      <c r="G75" s="15" t="s">
        <v>1487</v>
      </c>
      <c r="H75" s="15" t="s">
        <v>1488</v>
      </c>
      <c r="I75" s="15" t="s">
        <v>1490</v>
      </c>
      <c r="J75" s="15" t="s">
        <v>1491</v>
      </c>
      <c r="K75" s="17" t="s">
        <v>219</v>
      </c>
      <c r="L75" s="17" t="s">
        <v>219</v>
      </c>
      <c r="M75" s="18"/>
      <c r="N75" s="17" t="s">
        <v>219</v>
      </c>
    </row>
    <row r="76" ht="15.75" customHeight="1">
      <c r="A76" s="12">
        <v>75.0</v>
      </c>
      <c r="B76" s="15" t="s">
        <v>1471</v>
      </c>
      <c r="C76" s="15" t="s">
        <v>63</v>
      </c>
      <c r="D76" s="15" t="s">
        <v>1497</v>
      </c>
      <c r="E76" s="15" t="s">
        <v>1498</v>
      </c>
      <c r="F76" s="15" t="s">
        <v>109</v>
      </c>
      <c r="G76" s="15" t="s">
        <v>1265</v>
      </c>
      <c r="H76" s="15" t="s">
        <v>1499</v>
      </c>
      <c r="I76" s="15" t="s">
        <v>1501</v>
      </c>
      <c r="J76" s="15" t="s">
        <v>1503</v>
      </c>
      <c r="K76" s="17" t="s">
        <v>219</v>
      </c>
      <c r="L76" s="17" t="s">
        <v>219</v>
      </c>
      <c r="M76" s="18"/>
      <c r="N76" s="17" t="s">
        <v>219</v>
      </c>
    </row>
    <row r="77" ht="15.75" customHeight="1">
      <c r="A77" s="12">
        <v>76.0</v>
      </c>
      <c r="B77" s="15" t="s">
        <v>1471</v>
      </c>
      <c r="C77" s="15" t="s">
        <v>1511</v>
      </c>
      <c r="D77" s="15" t="s">
        <v>1512</v>
      </c>
      <c r="E77" s="15" t="s">
        <v>1513</v>
      </c>
      <c r="F77" s="15" t="s">
        <v>109</v>
      </c>
      <c r="G77" s="15" t="s">
        <v>1514</v>
      </c>
      <c r="H77" s="15" t="s">
        <v>1515</v>
      </c>
      <c r="I77" s="15" t="s">
        <v>1516</v>
      </c>
      <c r="J77" s="15" t="s">
        <v>1517</v>
      </c>
      <c r="K77" s="17" t="s">
        <v>219</v>
      </c>
      <c r="L77" s="17" t="s">
        <v>219</v>
      </c>
      <c r="M77" s="18"/>
      <c r="N77" s="17" t="s">
        <v>219</v>
      </c>
    </row>
    <row r="78" ht="15.75" customHeight="1">
      <c r="A78" s="12">
        <v>77.0</v>
      </c>
      <c r="B78" s="15" t="s">
        <v>1471</v>
      </c>
      <c r="C78" s="15" t="s">
        <v>1520</v>
      </c>
      <c r="D78" s="15" t="s">
        <v>1521</v>
      </c>
      <c r="E78" s="15" t="s">
        <v>1522</v>
      </c>
      <c r="F78" s="15" t="s">
        <v>109</v>
      </c>
      <c r="G78" s="15" t="s">
        <v>1523</v>
      </c>
      <c r="H78" s="15" t="s">
        <v>1524</v>
      </c>
      <c r="I78" s="15" t="s">
        <v>215</v>
      </c>
      <c r="J78" s="15" t="s">
        <v>1527</v>
      </c>
      <c r="K78" s="17" t="s">
        <v>219</v>
      </c>
      <c r="L78" s="17" t="s">
        <v>219</v>
      </c>
      <c r="M78" s="18"/>
      <c r="N78" s="17" t="s">
        <v>219</v>
      </c>
    </row>
    <row r="79" ht="15.75" customHeight="1">
      <c r="A79" s="12">
        <v>78.0</v>
      </c>
      <c r="B79" s="15" t="s">
        <v>1538</v>
      </c>
      <c r="C79" s="15" t="s">
        <v>1540</v>
      </c>
      <c r="D79" s="15" t="s">
        <v>1542</v>
      </c>
      <c r="E79" s="15" t="s">
        <v>1544</v>
      </c>
      <c r="F79" s="15" t="s">
        <v>109</v>
      </c>
      <c r="G79" s="15" t="s">
        <v>1546</v>
      </c>
      <c r="H79" s="15" t="s">
        <v>1547</v>
      </c>
      <c r="I79" s="15" t="s">
        <v>215</v>
      </c>
      <c r="J79" s="15" t="s">
        <v>1552</v>
      </c>
      <c r="K79" s="17" t="s">
        <v>219</v>
      </c>
      <c r="L79" s="17" t="s">
        <v>219</v>
      </c>
      <c r="M79" s="18"/>
      <c r="N79" s="17" t="s">
        <v>219</v>
      </c>
    </row>
    <row r="80" ht="15.75" customHeight="1">
      <c r="A80" s="12">
        <v>79.0</v>
      </c>
      <c r="B80" s="15" t="s">
        <v>1538</v>
      </c>
      <c r="C80" s="15" t="s">
        <v>1540</v>
      </c>
      <c r="D80" s="15" t="s">
        <v>1558</v>
      </c>
      <c r="E80" s="15" t="s">
        <v>1560</v>
      </c>
      <c r="F80" s="15" t="s">
        <v>109</v>
      </c>
      <c r="G80" s="15" t="s">
        <v>1562</v>
      </c>
      <c r="H80" s="15" t="s">
        <v>1563</v>
      </c>
      <c r="I80" s="15" t="s">
        <v>1564</v>
      </c>
      <c r="J80" s="15" t="s">
        <v>1565</v>
      </c>
      <c r="K80" s="17" t="s">
        <v>219</v>
      </c>
      <c r="L80" s="17" t="s">
        <v>219</v>
      </c>
      <c r="M80" s="18"/>
      <c r="N80" s="17" t="s">
        <v>219</v>
      </c>
    </row>
    <row r="81" ht="15.75" customHeight="1">
      <c r="A81" s="12">
        <v>80.0</v>
      </c>
      <c r="B81" s="15" t="s">
        <v>1538</v>
      </c>
      <c r="C81" s="15" t="s">
        <v>1540</v>
      </c>
      <c r="D81" s="15" t="s">
        <v>1577</v>
      </c>
      <c r="E81" s="15" t="s">
        <v>1578</v>
      </c>
      <c r="F81" s="15" t="s">
        <v>109</v>
      </c>
      <c r="G81" s="15" t="s">
        <v>1583</v>
      </c>
      <c r="H81" s="15" t="s">
        <v>1584</v>
      </c>
      <c r="I81" s="15" t="s">
        <v>215</v>
      </c>
      <c r="J81" s="15" t="s">
        <v>1585</v>
      </c>
      <c r="K81" s="17" t="s">
        <v>219</v>
      </c>
      <c r="L81" s="17" t="s">
        <v>219</v>
      </c>
      <c r="M81" s="18"/>
      <c r="N81" s="17" t="s">
        <v>219</v>
      </c>
    </row>
    <row r="82" ht="15.75" customHeight="1">
      <c r="A82" s="12">
        <v>81.0</v>
      </c>
      <c r="B82" s="15" t="s">
        <v>1538</v>
      </c>
      <c r="C82" s="15" t="s">
        <v>1207</v>
      </c>
      <c r="D82" s="15" t="s">
        <v>1594</v>
      </c>
      <c r="E82" s="15" t="s">
        <v>1595</v>
      </c>
      <c r="F82" s="15" t="s">
        <v>109</v>
      </c>
      <c r="G82" s="15" t="s">
        <v>1597</v>
      </c>
      <c r="H82" s="15" t="s">
        <v>1600</v>
      </c>
      <c r="I82" s="15" t="s">
        <v>1602</v>
      </c>
      <c r="J82" s="15" t="s">
        <v>1603</v>
      </c>
      <c r="K82" s="17" t="s">
        <v>219</v>
      </c>
      <c r="L82" s="17" t="s">
        <v>219</v>
      </c>
      <c r="M82" s="18"/>
      <c r="N82" s="17" t="s">
        <v>219</v>
      </c>
    </row>
    <row r="83" ht="15.75" customHeight="1">
      <c r="A83" s="12">
        <v>82.0</v>
      </c>
      <c r="B83" s="15" t="s">
        <v>1606</v>
      </c>
      <c r="C83" s="15" t="s">
        <v>1607</v>
      </c>
      <c r="D83" s="15" t="s">
        <v>1608</v>
      </c>
      <c r="E83" s="15" t="s">
        <v>1609</v>
      </c>
      <c r="F83" s="15" t="s">
        <v>109</v>
      </c>
      <c r="G83" s="15" t="s">
        <v>1612</v>
      </c>
      <c r="H83" s="15" t="s">
        <v>1614</v>
      </c>
      <c r="I83" s="15" t="s">
        <v>1616</v>
      </c>
      <c r="J83" s="15" t="s">
        <v>1618</v>
      </c>
      <c r="K83" s="17" t="s">
        <v>219</v>
      </c>
      <c r="L83" s="17" t="s">
        <v>219</v>
      </c>
      <c r="M83" s="18"/>
      <c r="N83" s="17" t="s">
        <v>219</v>
      </c>
    </row>
    <row r="84" ht="15.75" customHeight="1">
      <c r="A84" s="12">
        <v>83.0</v>
      </c>
      <c r="B84" s="15" t="s">
        <v>1606</v>
      </c>
      <c r="C84" s="15" t="s">
        <v>1625</v>
      </c>
      <c r="D84" s="15" t="s">
        <v>1627</v>
      </c>
      <c r="E84" s="15" t="s">
        <v>1628</v>
      </c>
      <c r="F84" s="15" t="s">
        <v>109</v>
      </c>
      <c r="G84" s="15" t="s">
        <v>1633</v>
      </c>
      <c r="H84" s="15" t="s">
        <v>1635</v>
      </c>
      <c r="I84" s="15" t="s">
        <v>1637</v>
      </c>
      <c r="J84" s="15" t="s">
        <v>1638</v>
      </c>
      <c r="K84" s="17" t="s">
        <v>219</v>
      </c>
      <c r="L84" s="17" t="s">
        <v>219</v>
      </c>
      <c r="M84" s="18"/>
      <c r="N84" s="17" t="s">
        <v>219</v>
      </c>
    </row>
    <row r="85" ht="15.75" customHeight="1">
      <c r="A85" s="12">
        <v>84.0</v>
      </c>
      <c r="B85" s="15" t="s">
        <v>1606</v>
      </c>
      <c r="C85" s="15" t="s">
        <v>1642</v>
      </c>
      <c r="D85" s="15" t="s">
        <v>1644</v>
      </c>
      <c r="E85" s="15" t="s">
        <v>1646</v>
      </c>
      <c r="F85" s="15" t="s">
        <v>109</v>
      </c>
      <c r="G85" s="15" t="s">
        <v>1649</v>
      </c>
      <c r="H85" s="15" t="s">
        <v>1650</v>
      </c>
      <c r="I85" s="15" t="s">
        <v>1651</v>
      </c>
      <c r="J85" s="15" t="s">
        <v>1652</v>
      </c>
      <c r="K85" s="17" t="s">
        <v>219</v>
      </c>
      <c r="L85" s="17" t="s">
        <v>219</v>
      </c>
      <c r="M85" s="18"/>
      <c r="N85" s="17" t="s">
        <v>219</v>
      </c>
    </row>
    <row r="86" ht="15.75" customHeight="1">
      <c r="A86" s="12">
        <v>85.0</v>
      </c>
      <c r="B86" s="15" t="s">
        <v>1606</v>
      </c>
      <c r="C86" s="15" t="s">
        <v>1642</v>
      </c>
      <c r="D86" s="15" t="s">
        <v>1660</v>
      </c>
      <c r="E86" s="15" t="s">
        <v>1661</v>
      </c>
      <c r="F86" s="15" t="s">
        <v>109</v>
      </c>
      <c r="G86" s="15" t="s">
        <v>1663</v>
      </c>
      <c r="H86" s="15" t="s">
        <v>1706</v>
      </c>
      <c r="I86" s="15" t="s">
        <v>1707</v>
      </c>
      <c r="J86" s="15" t="s">
        <v>1708</v>
      </c>
      <c r="K86" s="17" t="s">
        <v>219</v>
      </c>
      <c r="L86" s="17" t="s">
        <v>219</v>
      </c>
      <c r="M86" s="18"/>
      <c r="N86" s="17" t="s">
        <v>219</v>
      </c>
    </row>
    <row r="87" ht="15.75" customHeight="1">
      <c r="A87" s="12">
        <v>86.0</v>
      </c>
      <c r="B87" s="15" t="s">
        <v>1606</v>
      </c>
      <c r="C87" s="15" t="s">
        <v>1719</v>
      </c>
      <c r="D87" s="15" t="s">
        <v>1720</v>
      </c>
      <c r="E87" s="15" t="s">
        <v>1721</v>
      </c>
      <c r="F87" s="15" t="s">
        <v>109</v>
      </c>
      <c r="G87" s="15" t="s">
        <v>1722</v>
      </c>
      <c r="H87" s="15" t="s">
        <v>1725</v>
      </c>
      <c r="I87" s="15" t="s">
        <v>1727</v>
      </c>
      <c r="J87" s="15" t="s">
        <v>1728</v>
      </c>
      <c r="K87" s="17" t="s">
        <v>219</v>
      </c>
      <c r="L87" s="17" t="s">
        <v>219</v>
      </c>
      <c r="M87" s="18"/>
      <c r="N87" s="17" t="s">
        <v>219</v>
      </c>
    </row>
    <row r="88" ht="15.75" customHeight="1">
      <c r="A88" s="12">
        <v>87.0</v>
      </c>
      <c r="B88" s="15" t="s">
        <v>1606</v>
      </c>
      <c r="C88" s="15" t="s">
        <v>1734</v>
      </c>
      <c r="D88" s="15" t="s">
        <v>1736</v>
      </c>
      <c r="E88" s="15" t="s">
        <v>1737</v>
      </c>
      <c r="F88" s="15" t="s">
        <v>109</v>
      </c>
      <c r="G88" s="15" t="s">
        <v>1738</v>
      </c>
      <c r="H88" s="15" t="s">
        <v>1739</v>
      </c>
      <c r="I88" s="15" t="s">
        <v>1740</v>
      </c>
      <c r="J88" s="15" t="s">
        <v>1741</v>
      </c>
      <c r="K88" s="17" t="s">
        <v>219</v>
      </c>
      <c r="L88" s="17" t="s">
        <v>219</v>
      </c>
      <c r="M88" s="18"/>
      <c r="N88" s="17" t="s">
        <v>219</v>
      </c>
    </row>
    <row r="89" ht="15.75" customHeight="1">
      <c r="A89" s="12">
        <v>88.0</v>
      </c>
      <c r="B89" s="15" t="s">
        <v>1606</v>
      </c>
      <c r="C89" s="15" t="s">
        <v>1748</v>
      </c>
      <c r="D89" s="15" t="s">
        <v>1750</v>
      </c>
      <c r="E89" s="15" t="s">
        <v>1751</v>
      </c>
      <c r="F89" s="15" t="s">
        <v>109</v>
      </c>
      <c r="G89" s="15" t="s">
        <v>1752</v>
      </c>
      <c r="H89" s="15" t="s">
        <v>1753</v>
      </c>
      <c r="I89" s="15" t="s">
        <v>1757</v>
      </c>
      <c r="J89" s="15" t="s">
        <v>1759</v>
      </c>
      <c r="K89" s="17" t="s">
        <v>219</v>
      </c>
      <c r="L89" s="17" t="s">
        <v>219</v>
      </c>
      <c r="M89" s="18"/>
      <c r="N89" s="17" t="s">
        <v>219</v>
      </c>
    </row>
    <row r="90" ht="15.75" customHeight="1">
      <c r="A90" s="12">
        <v>89.0</v>
      </c>
      <c r="B90" s="15" t="s">
        <v>1606</v>
      </c>
      <c r="C90" s="15" t="s">
        <v>1748</v>
      </c>
      <c r="D90" s="15" t="s">
        <v>1769</v>
      </c>
      <c r="E90" s="15" t="s">
        <v>1771</v>
      </c>
      <c r="F90" s="15" t="s">
        <v>109</v>
      </c>
      <c r="G90" s="15" t="s">
        <v>1773</v>
      </c>
      <c r="H90" s="15" t="s">
        <v>1774</v>
      </c>
      <c r="I90" s="15" t="s">
        <v>1776</v>
      </c>
      <c r="J90" s="15" t="s">
        <v>1779</v>
      </c>
      <c r="K90" s="17" t="s">
        <v>219</v>
      </c>
      <c r="L90" s="17" t="s">
        <v>219</v>
      </c>
      <c r="M90" s="18"/>
      <c r="N90" s="17" t="s">
        <v>219</v>
      </c>
    </row>
    <row r="91" ht="15.75" customHeight="1">
      <c r="A91" s="12">
        <v>90.0</v>
      </c>
      <c r="B91" s="15" t="s">
        <v>1606</v>
      </c>
      <c r="C91" s="15" t="s">
        <v>1789</v>
      </c>
      <c r="D91" s="15" t="s">
        <v>1791</v>
      </c>
      <c r="E91" s="15" t="s">
        <v>1794</v>
      </c>
      <c r="F91" s="15" t="s">
        <v>109</v>
      </c>
      <c r="G91" s="15" t="s">
        <v>1795</v>
      </c>
      <c r="H91" s="15" t="s">
        <v>1796</v>
      </c>
      <c r="I91" s="15" t="s">
        <v>1797</v>
      </c>
      <c r="J91" s="15" t="s">
        <v>1800</v>
      </c>
      <c r="K91" s="17" t="s">
        <v>219</v>
      </c>
      <c r="L91" s="17" t="s">
        <v>219</v>
      </c>
      <c r="M91" s="18"/>
      <c r="N91" s="17" t="s">
        <v>219</v>
      </c>
    </row>
    <row r="92" ht="15.75" customHeight="1">
      <c r="A92" s="12">
        <v>91.0</v>
      </c>
      <c r="B92" s="15" t="s">
        <v>1606</v>
      </c>
      <c r="C92" s="15" t="s">
        <v>1688</v>
      </c>
      <c r="D92" s="15" t="s">
        <v>1810</v>
      </c>
      <c r="E92" s="15" t="s">
        <v>1811</v>
      </c>
      <c r="F92" s="15" t="s">
        <v>109</v>
      </c>
      <c r="G92" s="15" t="s">
        <v>1815</v>
      </c>
      <c r="H92" s="15" t="s">
        <v>1817</v>
      </c>
      <c r="I92" s="15" t="s">
        <v>1818</v>
      </c>
      <c r="J92" s="15" t="s">
        <v>1822</v>
      </c>
      <c r="K92" s="17" t="s">
        <v>219</v>
      </c>
      <c r="L92" s="17" t="s">
        <v>219</v>
      </c>
      <c r="M92" s="18"/>
      <c r="N92" s="17" t="s">
        <v>219</v>
      </c>
    </row>
    <row r="93" ht="15.75" customHeight="1">
      <c r="A93" s="12">
        <v>92.0</v>
      </c>
      <c r="B93" s="15" t="s">
        <v>1606</v>
      </c>
      <c r="C93" s="15" t="s">
        <v>1831</v>
      </c>
      <c r="D93" s="15" t="s">
        <v>1832</v>
      </c>
      <c r="E93" s="15" t="s">
        <v>1834</v>
      </c>
      <c r="F93" s="15" t="s">
        <v>109</v>
      </c>
      <c r="G93" s="15" t="s">
        <v>1838</v>
      </c>
      <c r="H93" s="15" t="s">
        <v>1839</v>
      </c>
      <c r="I93" s="15" t="s">
        <v>1840</v>
      </c>
      <c r="J93" s="15" t="s">
        <v>1841</v>
      </c>
      <c r="K93" s="17" t="s">
        <v>219</v>
      </c>
      <c r="L93" s="17" t="s">
        <v>219</v>
      </c>
      <c r="M93" s="18"/>
      <c r="N93" s="17" t="s">
        <v>219</v>
      </c>
    </row>
    <row r="94" ht="15.75" customHeight="1">
      <c r="A94" s="12">
        <v>93.0</v>
      </c>
      <c r="B94" s="15" t="s">
        <v>1606</v>
      </c>
      <c r="C94" s="15" t="s">
        <v>1642</v>
      </c>
      <c r="D94" s="15" t="s">
        <v>1848</v>
      </c>
      <c r="E94" s="15" t="s">
        <v>1849</v>
      </c>
      <c r="F94" s="15" t="s">
        <v>109</v>
      </c>
      <c r="G94" s="15" t="s">
        <v>1855</v>
      </c>
      <c r="H94" s="15" t="s">
        <v>1858</v>
      </c>
      <c r="I94" s="15" t="s">
        <v>1859</v>
      </c>
      <c r="J94" s="15" t="s">
        <v>1861</v>
      </c>
      <c r="K94" s="17" t="s">
        <v>219</v>
      </c>
      <c r="L94" s="17" t="s">
        <v>219</v>
      </c>
      <c r="M94" s="18"/>
      <c r="N94" s="17" t="s">
        <v>219</v>
      </c>
    </row>
    <row r="95" ht="15.75" customHeight="1">
      <c r="A95" s="12">
        <v>94.0</v>
      </c>
      <c r="B95" s="15" t="s">
        <v>1606</v>
      </c>
      <c r="C95" s="15" t="s">
        <v>1719</v>
      </c>
      <c r="D95" s="15" t="s">
        <v>1867</v>
      </c>
      <c r="E95" s="15" t="s">
        <v>1868</v>
      </c>
      <c r="F95" s="15" t="s">
        <v>109</v>
      </c>
      <c r="G95" s="15" t="s">
        <v>1869</v>
      </c>
      <c r="H95" s="15" t="s">
        <v>1870</v>
      </c>
      <c r="I95" s="15" t="s">
        <v>1871</v>
      </c>
      <c r="J95" s="15" t="s">
        <v>1872</v>
      </c>
      <c r="K95" s="17" t="s">
        <v>219</v>
      </c>
      <c r="L95" s="17" t="s">
        <v>219</v>
      </c>
      <c r="M95" s="18"/>
      <c r="N95" s="17" t="s">
        <v>219</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118E73F-AE76-4DE0-B986-BBB98783FBEB}" filter="1" showAutoFilter="1">
      <autoFilter ref="$A$1:$N$95"/>
    </customSheetView>
  </customSheetViews>
  <dataValidations>
    <dataValidation type="list" allowBlank="1" sqref="K2:L95">
      <formula1>"Sẵn sàng cho Test,Đang làm,Hoãn,Sẵn sàng,Chưa làm"</formula1>
    </dataValidation>
    <dataValidation type="list" allowBlank="1" sqref="F2:F95">
      <formula1>"Khách hàng (app Android)"</formula1>
    </dataValidation>
    <dataValidation type="list" allowBlank="1" sqref="M2:N95">
      <formula1>"Sãn sàng cho Test,Đang làm,Hoãn"</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3" max="3" width="29.0"/>
    <col customWidth="1" min="4" max="4" width="28.57"/>
    <col customWidth="1" min="5" max="5" width="22.14"/>
    <col customWidth="1" min="6" max="6" width="22.29"/>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v>1.0</v>
      </c>
      <c r="B2" s="4" t="s">
        <v>6</v>
      </c>
      <c r="C2" s="4" t="s">
        <v>7</v>
      </c>
      <c r="D2" s="4" t="s">
        <v>8</v>
      </c>
      <c r="E2" s="4" t="s">
        <v>9</v>
      </c>
      <c r="F2" s="4" t="s">
        <v>10</v>
      </c>
    </row>
    <row r="3">
      <c r="A3" s="3">
        <v>2.0</v>
      </c>
      <c r="B3" s="4" t="s">
        <v>11</v>
      </c>
      <c r="C3" s="4" t="s">
        <v>12</v>
      </c>
      <c r="D3" s="4" t="s">
        <v>8</v>
      </c>
      <c r="E3" s="4"/>
      <c r="F3" s="4"/>
    </row>
    <row r="4">
      <c r="A4" s="3">
        <v>3.0</v>
      </c>
      <c r="B4" s="4" t="s">
        <v>13</v>
      </c>
      <c r="C4" s="4" t="s">
        <v>14</v>
      </c>
      <c r="D4" s="4" t="s">
        <v>8</v>
      </c>
      <c r="E4" s="4"/>
      <c r="F4" s="4"/>
    </row>
    <row r="5">
      <c r="A5" s="3">
        <v>4.0</v>
      </c>
      <c r="B5" s="4" t="s">
        <v>13</v>
      </c>
      <c r="C5" s="4" t="s">
        <v>15</v>
      </c>
      <c r="D5" s="4"/>
      <c r="E5" s="4" t="s">
        <v>9</v>
      </c>
      <c r="F5" s="4"/>
    </row>
    <row r="6">
      <c r="A6" s="3">
        <v>5.0</v>
      </c>
      <c r="B6" s="4" t="s">
        <v>13</v>
      </c>
      <c r="C6" s="4" t="s">
        <v>16</v>
      </c>
      <c r="D6" s="4"/>
      <c r="E6" s="4"/>
      <c r="F6" s="4" t="s">
        <v>10</v>
      </c>
    </row>
    <row r="7">
      <c r="A7" s="3">
        <v>6.0</v>
      </c>
      <c r="B7" s="4" t="s">
        <v>17</v>
      </c>
      <c r="C7" s="4" t="s">
        <v>18</v>
      </c>
      <c r="D7" s="4" t="s">
        <v>8</v>
      </c>
      <c r="E7" s="4"/>
      <c r="F7" s="4"/>
    </row>
    <row r="8">
      <c r="A8" s="3">
        <v>7.0</v>
      </c>
      <c r="B8" s="4" t="s">
        <v>17</v>
      </c>
      <c r="C8" s="4" t="s">
        <v>19</v>
      </c>
      <c r="D8" s="4"/>
      <c r="E8" s="4" t="s">
        <v>9</v>
      </c>
      <c r="F8" s="4"/>
    </row>
    <row r="9">
      <c r="A9" s="3">
        <v>8.0</v>
      </c>
      <c r="B9" s="4" t="s">
        <v>20</v>
      </c>
      <c r="C9" s="4" t="s">
        <v>21</v>
      </c>
      <c r="D9" s="4" t="s">
        <v>8</v>
      </c>
      <c r="E9" s="4"/>
      <c r="F9" s="4"/>
    </row>
    <row r="10">
      <c r="A10" s="3">
        <v>9.0</v>
      </c>
      <c r="B10" s="4" t="s">
        <v>20</v>
      </c>
      <c r="C10" s="4" t="s">
        <v>22</v>
      </c>
      <c r="D10" s="4"/>
      <c r="E10" s="4" t="s">
        <v>9</v>
      </c>
      <c r="F10" s="4"/>
    </row>
    <row r="11">
      <c r="A11" s="3">
        <v>10.0</v>
      </c>
      <c r="B11" s="4" t="s">
        <v>20</v>
      </c>
      <c r="C11" s="4" t="s">
        <v>23</v>
      </c>
      <c r="D11" s="4"/>
      <c r="E11" s="4"/>
      <c r="F11" s="4" t="s">
        <v>10</v>
      </c>
    </row>
    <row r="12">
      <c r="A12" s="3">
        <v>11.0</v>
      </c>
      <c r="B12" s="4" t="s">
        <v>24</v>
      </c>
      <c r="C12" s="4" t="s">
        <v>25</v>
      </c>
      <c r="D12" s="4" t="s">
        <v>8</v>
      </c>
      <c r="E12" s="4"/>
      <c r="F12" s="4"/>
    </row>
    <row r="13">
      <c r="A13" s="3">
        <v>12.0</v>
      </c>
      <c r="B13" s="4" t="s">
        <v>24</v>
      </c>
      <c r="C13" s="4" t="s">
        <v>26</v>
      </c>
      <c r="D13" s="4"/>
      <c r="E13" s="4" t="s">
        <v>9</v>
      </c>
      <c r="F13" s="4"/>
    </row>
    <row r="14">
      <c r="A14" s="3">
        <v>13.0</v>
      </c>
      <c r="B14" s="4" t="s">
        <v>24</v>
      </c>
      <c r="C14" s="4" t="s">
        <v>27</v>
      </c>
      <c r="D14" s="4"/>
      <c r="E14" s="4"/>
      <c r="F14" s="4" t="s">
        <v>10</v>
      </c>
    </row>
    <row r="15">
      <c r="A15" s="3">
        <v>14.0</v>
      </c>
      <c r="B15" s="4" t="s">
        <v>28</v>
      </c>
      <c r="C15" s="4" t="s">
        <v>29</v>
      </c>
      <c r="D15" s="4" t="s">
        <v>8</v>
      </c>
      <c r="E15" s="4"/>
      <c r="F15" s="4"/>
    </row>
    <row r="16">
      <c r="A16" s="3">
        <v>15.0</v>
      </c>
      <c r="B16" s="4" t="s">
        <v>28</v>
      </c>
      <c r="C16" s="4" t="s">
        <v>30</v>
      </c>
      <c r="D16" s="4"/>
      <c r="E16" s="4" t="s">
        <v>9</v>
      </c>
      <c r="F16" s="4"/>
    </row>
    <row r="17">
      <c r="A17" s="3">
        <v>16.0</v>
      </c>
      <c r="B17" s="4" t="s">
        <v>28</v>
      </c>
      <c r="C17" s="4" t="s">
        <v>31</v>
      </c>
      <c r="D17" s="4"/>
      <c r="E17" s="4"/>
      <c r="F17" s="4" t="s">
        <v>10</v>
      </c>
    </row>
    <row r="18">
      <c r="A18" s="3">
        <v>17.0</v>
      </c>
      <c r="B18" s="4" t="s">
        <v>32</v>
      </c>
      <c r="C18" s="4" t="s">
        <v>33</v>
      </c>
      <c r="D18" s="4" t="s">
        <v>8</v>
      </c>
      <c r="E18" s="4"/>
      <c r="F18" s="4"/>
    </row>
    <row r="19">
      <c r="A19" s="3">
        <v>18.0</v>
      </c>
      <c r="B19" s="4" t="s">
        <v>32</v>
      </c>
      <c r="C19" s="4" t="s">
        <v>34</v>
      </c>
      <c r="D19" s="4"/>
      <c r="E19" s="4" t="s">
        <v>9</v>
      </c>
      <c r="F19" s="4"/>
    </row>
    <row r="20">
      <c r="A20" s="3">
        <v>19.0</v>
      </c>
      <c r="B20" s="4" t="s">
        <v>32</v>
      </c>
      <c r="C20" s="4" t="s">
        <v>35</v>
      </c>
      <c r="D20" s="4"/>
      <c r="E20" s="4"/>
      <c r="F20" s="4" t="s">
        <v>10</v>
      </c>
    </row>
    <row r="21">
      <c r="A21" s="3">
        <v>20.0</v>
      </c>
      <c r="B21" s="4" t="s">
        <v>36</v>
      </c>
      <c r="C21" s="4" t="s">
        <v>37</v>
      </c>
      <c r="D21" s="4" t="s">
        <v>8</v>
      </c>
      <c r="E21" s="4"/>
      <c r="F21" s="4"/>
    </row>
    <row r="22">
      <c r="A22" s="3">
        <v>21.0</v>
      </c>
      <c r="B22" s="4" t="s">
        <v>36</v>
      </c>
      <c r="C22" s="4" t="s">
        <v>39</v>
      </c>
      <c r="D22" s="4"/>
      <c r="E22" s="4"/>
      <c r="F22" s="4" t="s">
        <v>10</v>
      </c>
    </row>
    <row r="23">
      <c r="A23" s="3">
        <v>22.0</v>
      </c>
      <c r="B23" s="4" t="s">
        <v>41</v>
      </c>
      <c r="C23" s="4" t="s">
        <v>43</v>
      </c>
      <c r="D23" s="4" t="s">
        <v>8</v>
      </c>
      <c r="E23" s="4"/>
      <c r="F23" s="4"/>
    </row>
    <row r="24">
      <c r="A24" s="3">
        <v>23.0</v>
      </c>
      <c r="B24" s="4" t="s">
        <v>41</v>
      </c>
      <c r="C24" s="4" t="s">
        <v>44</v>
      </c>
      <c r="D24" s="4"/>
      <c r="E24" s="4" t="s">
        <v>9</v>
      </c>
      <c r="F24" s="4"/>
    </row>
    <row r="25">
      <c r="A25" s="3">
        <v>24.0</v>
      </c>
      <c r="B25" s="4" t="s">
        <v>41</v>
      </c>
      <c r="C25" s="4" t="s">
        <v>46</v>
      </c>
      <c r="D25" s="4"/>
      <c r="E25" s="4"/>
      <c r="F25" s="4" t="s">
        <v>10</v>
      </c>
    </row>
    <row r="26">
      <c r="A26" s="3">
        <v>25.0</v>
      </c>
      <c r="B26" s="4" t="s">
        <v>47</v>
      </c>
      <c r="C26" s="4" t="s">
        <v>49</v>
      </c>
      <c r="D26" s="4" t="s">
        <v>10</v>
      </c>
      <c r="E26" s="4"/>
      <c r="F26" s="4"/>
    </row>
    <row r="27">
      <c r="A27" s="3">
        <v>26.0</v>
      </c>
      <c r="B27" s="4" t="s">
        <v>47</v>
      </c>
      <c r="C27" s="4" t="s">
        <v>51</v>
      </c>
      <c r="D27" s="4"/>
      <c r="E27" s="4"/>
      <c r="F27" s="4" t="s">
        <v>10</v>
      </c>
    </row>
    <row r="28">
      <c r="A28" s="3">
        <v>27.0</v>
      </c>
      <c r="B28" s="4" t="s">
        <v>53</v>
      </c>
      <c r="C28" s="4" t="s">
        <v>54</v>
      </c>
      <c r="D28" s="4" t="s">
        <v>10</v>
      </c>
      <c r="E28" s="4"/>
      <c r="F28" s="4"/>
    </row>
    <row r="29">
      <c r="A29" s="3">
        <v>28.0</v>
      </c>
      <c r="B29" s="4" t="s">
        <v>53</v>
      </c>
      <c r="C29" s="4" t="s">
        <v>57</v>
      </c>
      <c r="D29" s="4"/>
      <c r="E29" s="4" t="s">
        <v>9</v>
      </c>
      <c r="F29" s="4"/>
    </row>
    <row r="30">
      <c r="A30" s="3">
        <v>29.0</v>
      </c>
      <c r="B30" s="4" t="s">
        <v>53</v>
      </c>
      <c r="C30" s="4" t="s">
        <v>60</v>
      </c>
      <c r="D30" s="4"/>
      <c r="E30" s="4"/>
      <c r="F30" s="4" t="s">
        <v>10</v>
      </c>
    </row>
    <row r="31">
      <c r="A31" s="3">
        <v>30.0</v>
      </c>
      <c r="B31" s="4" t="s">
        <v>63</v>
      </c>
      <c r="C31" s="4" t="s">
        <v>64</v>
      </c>
      <c r="D31" s="4" t="s">
        <v>10</v>
      </c>
      <c r="E31" s="4"/>
      <c r="F31" s="4"/>
    </row>
    <row r="32">
      <c r="A32" s="3">
        <v>31.0</v>
      </c>
      <c r="B32" s="4" t="s">
        <v>63</v>
      </c>
      <c r="C32" s="4" t="s">
        <v>67</v>
      </c>
      <c r="D32" s="4"/>
      <c r="E32" s="4" t="s">
        <v>9</v>
      </c>
      <c r="F32" s="4"/>
    </row>
    <row r="33">
      <c r="A33" s="3">
        <v>32.0</v>
      </c>
      <c r="B33" s="4" t="s">
        <v>63</v>
      </c>
      <c r="C33" s="4" t="s">
        <v>71</v>
      </c>
      <c r="D33" s="4"/>
      <c r="E33" s="4"/>
      <c r="F33" s="4" t="s">
        <v>10</v>
      </c>
    </row>
    <row r="34">
      <c r="A34" s="3">
        <v>33.0</v>
      </c>
      <c r="B34" s="4" t="s">
        <v>74</v>
      </c>
      <c r="C34" s="4" t="s">
        <v>76</v>
      </c>
      <c r="D34" s="4" t="s">
        <v>8</v>
      </c>
      <c r="E34" s="4"/>
      <c r="F34" s="4"/>
    </row>
    <row r="35">
      <c r="A35" s="3">
        <v>34.0</v>
      </c>
      <c r="B35" s="4" t="s">
        <v>74</v>
      </c>
      <c r="C35" s="4" t="s">
        <v>79</v>
      </c>
      <c r="D35" s="4"/>
      <c r="E35" s="4" t="s">
        <v>9</v>
      </c>
      <c r="F35" s="4"/>
    </row>
    <row r="36">
      <c r="A36" s="3">
        <v>35.0</v>
      </c>
      <c r="B36" s="4" t="s">
        <v>81</v>
      </c>
      <c r="C36" s="4" t="s">
        <v>82</v>
      </c>
      <c r="D36" s="4" t="s">
        <v>10</v>
      </c>
      <c r="E36" s="4"/>
      <c r="F36" s="4"/>
    </row>
    <row r="37">
      <c r="A37" s="3">
        <v>36.0</v>
      </c>
      <c r="B37" s="4" t="s">
        <v>81</v>
      </c>
      <c r="C37" s="4" t="s">
        <v>84</v>
      </c>
      <c r="D37" s="4"/>
      <c r="E37" s="4"/>
      <c r="F37" s="4" t="s">
        <v>10</v>
      </c>
    </row>
    <row r="38">
      <c r="A38" s="3">
        <v>37.0</v>
      </c>
      <c r="B38" s="4" t="s">
        <v>85</v>
      </c>
      <c r="C38" s="4" t="s">
        <v>86</v>
      </c>
      <c r="D38" s="4" t="s">
        <v>8</v>
      </c>
      <c r="E38" s="4"/>
      <c r="F38" s="4"/>
    </row>
    <row r="39">
      <c r="A39" s="3">
        <v>38.0</v>
      </c>
      <c r="B39" s="4" t="s">
        <v>85</v>
      </c>
      <c r="C39" s="4" t="s">
        <v>90</v>
      </c>
      <c r="D39" s="4"/>
      <c r="E39" s="4" t="s">
        <v>9</v>
      </c>
      <c r="F39" s="4"/>
    </row>
    <row r="40">
      <c r="A40" s="3">
        <v>39.0</v>
      </c>
      <c r="B40" s="4" t="s">
        <v>92</v>
      </c>
      <c r="C40" s="4" t="s">
        <v>94</v>
      </c>
      <c r="D40" s="4" t="s">
        <v>8</v>
      </c>
      <c r="E40" s="4"/>
      <c r="F40" s="4"/>
    </row>
    <row r="41">
      <c r="A41" s="3">
        <v>40.0</v>
      </c>
      <c r="B41" s="4" t="s">
        <v>92</v>
      </c>
      <c r="C41" s="4" t="s">
        <v>99</v>
      </c>
      <c r="D41" s="4"/>
      <c r="E41" s="4" t="s">
        <v>9</v>
      </c>
      <c r="F41" s="4"/>
    </row>
    <row r="42">
      <c r="A42" s="3">
        <v>41.0</v>
      </c>
      <c r="B42" s="4" t="s">
        <v>103</v>
      </c>
      <c r="C42" s="4" t="s">
        <v>104</v>
      </c>
      <c r="D42" s="4"/>
      <c r="E42" s="4" t="s">
        <v>9</v>
      </c>
      <c r="F42" s="4"/>
    </row>
    <row r="43">
      <c r="A43" s="3">
        <v>42.0</v>
      </c>
      <c r="B43" s="4" t="s">
        <v>103</v>
      </c>
      <c r="C43" s="4" t="s">
        <v>105</v>
      </c>
      <c r="D43" s="4"/>
      <c r="E43" s="4"/>
      <c r="F43" s="4" t="s">
        <v>10</v>
      </c>
    </row>
    <row r="44">
      <c r="A44" s="3">
        <v>43.0</v>
      </c>
      <c r="B44" s="4" t="s">
        <v>107</v>
      </c>
      <c r="C44" s="4" t="s">
        <v>108</v>
      </c>
      <c r="D44" s="4" t="s">
        <v>8</v>
      </c>
      <c r="E44" s="4"/>
      <c r="F44" s="4" t="s">
        <v>10</v>
      </c>
    </row>
    <row r="45">
      <c r="A45" s="3">
        <v>44.0</v>
      </c>
      <c r="B45" s="4" t="s">
        <v>107</v>
      </c>
      <c r="C45" s="4" t="s">
        <v>112</v>
      </c>
      <c r="D45" s="4"/>
      <c r="E45" s="4" t="s">
        <v>114</v>
      </c>
      <c r="F45" s="4" t="s">
        <v>114</v>
      </c>
    </row>
    <row r="46">
      <c r="A46" s="3">
        <v>45.0</v>
      </c>
      <c r="B46" s="4" t="s">
        <v>107</v>
      </c>
      <c r="C46" s="4" t="s">
        <v>117</v>
      </c>
      <c r="D46" s="4"/>
      <c r="E46" s="4" t="s">
        <v>114</v>
      </c>
      <c r="F46" s="4" t="s">
        <v>10</v>
      </c>
    </row>
    <row r="47">
      <c r="A47" s="3">
        <v>46.0</v>
      </c>
      <c r="B47" s="4" t="s">
        <v>121</v>
      </c>
      <c r="C47" s="4" t="s">
        <v>124</v>
      </c>
      <c r="D47" s="4" t="s">
        <v>8</v>
      </c>
      <c r="E47" s="4" t="s">
        <v>9</v>
      </c>
      <c r="F47" s="4" t="s">
        <v>10</v>
      </c>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2.0"/>
    <col customWidth="1" min="3" max="3" width="24.0"/>
    <col customWidth="1" min="4" max="4" width="29.43"/>
    <col customWidth="1" min="5" max="5" width="55.0"/>
    <col customWidth="1" min="6" max="6" width="22.0"/>
    <col customWidth="1" min="7" max="7" width="45.0"/>
    <col customWidth="1" min="8" max="8" width="60.0"/>
    <col customWidth="1" min="9" max="9" width="45.0"/>
    <col customWidth="1" min="10" max="10" width="40.0"/>
    <col customWidth="1" min="11" max="11" width="23.86"/>
    <col customWidth="1" min="12" max="12" width="25.71"/>
    <col customWidth="1" min="13" max="13" width="30.71"/>
    <col customWidth="1" min="14" max="26" width="8.71"/>
  </cols>
  <sheetData>
    <row r="1" ht="31.5" customHeight="1">
      <c r="A1" s="5" t="s">
        <v>0</v>
      </c>
      <c r="B1" s="5" t="s">
        <v>38</v>
      </c>
      <c r="C1" s="5" t="s">
        <v>42</v>
      </c>
      <c r="D1" s="5" t="s">
        <v>45</v>
      </c>
      <c r="E1" s="5" t="s">
        <v>50</v>
      </c>
      <c r="F1" s="5" t="s">
        <v>52</v>
      </c>
      <c r="G1" s="5" t="s">
        <v>56</v>
      </c>
      <c r="H1" s="5" t="s">
        <v>59</v>
      </c>
      <c r="I1" s="5" t="s">
        <v>62</v>
      </c>
      <c r="J1" s="5" t="s">
        <v>66</v>
      </c>
      <c r="K1" s="9" t="s">
        <v>69</v>
      </c>
      <c r="L1" s="9" t="s">
        <v>77</v>
      </c>
      <c r="M1" s="9" t="s">
        <v>80</v>
      </c>
    </row>
    <row r="2">
      <c r="A2" s="14">
        <v>1.0</v>
      </c>
      <c r="B2" s="13" t="s">
        <v>88</v>
      </c>
      <c r="C2" s="13" t="s">
        <v>93</v>
      </c>
      <c r="D2" s="13" t="s">
        <v>96</v>
      </c>
      <c r="E2" s="13" t="s">
        <v>100</v>
      </c>
      <c r="F2" s="13" t="s">
        <v>111</v>
      </c>
      <c r="G2" s="13" t="s">
        <v>115</v>
      </c>
      <c r="H2" s="13" t="s">
        <v>119</v>
      </c>
      <c r="I2" s="13" t="s">
        <v>122</v>
      </c>
      <c r="J2" s="13" t="s">
        <v>126</v>
      </c>
      <c r="K2" s="17" t="s">
        <v>125</v>
      </c>
      <c r="L2" s="17" t="s">
        <v>131</v>
      </c>
      <c r="M2" s="18"/>
    </row>
    <row r="3">
      <c r="A3" s="14">
        <v>2.0</v>
      </c>
      <c r="B3" s="13" t="s">
        <v>88</v>
      </c>
      <c r="C3" s="13" t="s">
        <v>137</v>
      </c>
      <c r="D3" s="13" t="s">
        <v>139</v>
      </c>
      <c r="E3" s="13" t="s">
        <v>140</v>
      </c>
      <c r="F3" s="13" t="s">
        <v>111</v>
      </c>
      <c r="G3" s="13" t="s">
        <v>143</v>
      </c>
      <c r="H3" s="13" t="s">
        <v>145</v>
      </c>
      <c r="I3" s="13" t="s">
        <v>148</v>
      </c>
      <c r="J3" s="13" t="s">
        <v>152</v>
      </c>
      <c r="K3" s="17" t="s">
        <v>125</v>
      </c>
      <c r="L3" s="17" t="s">
        <v>131</v>
      </c>
      <c r="M3" s="18"/>
    </row>
    <row r="4">
      <c r="A4" s="14">
        <v>3.0</v>
      </c>
      <c r="B4" s="13" t="s">
        <v>88</v>
      </c>
      <c r="C4" s="13" t="s">
        <v>137</v>
      </c>
      <c r="D4" s="13" t="s">
        <v>159</v>
      </c>
      <c r="E4" s="13" t="s">
        <v>160</v>
      </c>
      <c r="F4" s="13" t="s">
        <v>111</v>
      </c>
      <c r="G4" s="13" t="s">
        <v>164</v>
      </c>
      <c r="H4" s="13" t="s">
        <v>167</v>
      </c>
      <c r="I4" s="13" t="s">
        <v>169</v>
      </c>
      <c r="J4" s="13" t="s">
        <v>172</v>
      </c>
      <c r="K4" s="17" t="s">
        <v>125</v>
      </c>
      <c r="L4" s="17" t="s">
        <v>131</v>
      </c>
      <c r="M4" s="18"/>
    </row>
    <row r="5">
      <c r="A5" s="14">
        <v>4.0</v>
      </c>
      <c r="B5" s="13" t="s">
        <v>88</v>
      </c>
      <c r="C5" s="13" t="s">
        <v>137</v>
      </c>
      <c r="D5" s="13" t="s">
        <v>182</v>
      </c>
      <c r="E5" s="13" t="s">
        <v>184</v>
      </c>
      <c r="F5" s="13" t="s">
        <v>111</v>
      </c>
      <c r="G5" s="13" t="s">
        <v>190</v>
      </c>
      <c r="H5" s="13" t="s">
        <v>192</v>
      </c>
      <c r="I5" s="13" t="s">
        <v>196</v>
      </c>
      <c r="J5" s="13" t="s">
        <v>198</v>
      </c>
      <c r="K5" s="17" t="s">
        <v>131</v>
      </c>
      <c r="L5" s="17" t="s">
        <v>131</v>
      </c>
      <c r="M5" s="18"/>
    </row>
    <row r="6">
      <c r="A6" s="14">
        <v>5.0</v>
      </c>
      <c r="B6" s="13" t="s">
        <v>88</v>
      </c>
      <c r="C6" s="13" t="s">
        <v>204</v>
      </c>
      <c r="D6" s="13" t="s">
        <v>205</v>
      </c>
      <c r="E6" s="13" t="s">
        <v>207</v>
      </c>
      <c r="F6" s="13" t="s">
        <v>111</v>
      </c>
      <c r="G6" s="13" t="s">
        <v>212</v>
      </c>
      <c r="H6" s="13" t="s">
        <v>213</v>
      </c>
      <c r="I6" s="13" t="s">
        <v>215</v>
      </c>
      <c r="J6" s="13" t="s">
        <v>217</v>
      </c>
      <c r="K6" s="17" t="s">
        <v>125</v>
      </c>
      <c r="L6" s="17" t="s">
        <v>131</v>
      </c>
      <c r="M6" s="18"/>
    </row>
    <row r="7">
      <c r="A7" s="14">
        <v>6.0</v>
      </c>
      <c r="B7" s="13" t="s">
        <v>88</v>
      </c>
      <c r="C7" s="13" t="s">
        <v>204</v>
      </c>
      <c r="D7" s="13" t="s">
        <v>222</v>
      </c>
      <c r="E7" s="13" t="s">
        <v>223</v>
      </c>
      <c r="F7" s="13" t="s">
        <v>111</v>
      </c>
      <c r="G7" s="13" t="s">
        <v>228</v>
      </c>
      <c r="H7" s="13" t="s">
        <v>229</v>
      </c>
      <c r="I7" s="13" t="s">
        <v>231</v>
      </c>
      <c r="J7" s="13" t="s">
        <v>234</v>
      </c>
      <c r="K7" s="17" t="s">
        <v>125</v>
      </c>
      <c r="L7" s="17" t="s">
        <v>131</v>
      </c>
      <c r="M7" s="18"/>
    </row>
    <row r="8">
      <c r="A8" s="14">
        <v>7.0</v>
      </c>
      <c r="B8" s="13" t="s">
        <v>88</v>
      </c>
      <c r="C8" s="13" t="s">
        <v>238</v>
      </c>
      <c r="D8" s="13" t="s">
        <v>239</v>
      </c>
      <c r="E8" s="13" t="s">
        <v>240</v>
      </c>
      <c r="F8" s="13" t="s">
        <v>111</v>
      </c>
      <c r="G8" s="13" t="s">
        <v>246</v>
      </c>
      <c r="H8" s="13" t="s">
        <v>248</v>
      </c>
      <c r="I8" s="13" t="s">
        <v>252</v>
      </c>
      <c r="J8" s="13" t="s">
        <v>253</v>
      </c>
      <c r="K8" s="17" t="s">
        <v>125</v>
      </c>
      <c r="L8" s="17" t="s">
        <v>131</v>
      </c>
      <c r="M8" s="18"/>
    </row>
    <row r="9">
      <c r="A9" s="14">
        <v>8.0</v>
      </c>
      <c r="B9" s="13" t="s">
        <v>88</v>
      </c>
      <c r="C9" s="13" t="s">
        <v>238</v>
      </c>
      <c r="D9" s="13" t="s">
        <v>261</v>
      </c>
      <c r="E9" s="13" t="s">
        <v>264</v>
      </c>
      <c r="F9" s="13" t="s">
        <v>111</v>
      </c>
      <c r="G9" s="13" t="s">
        <v>266</v>
      </c>
      <c r="H9" s="13" t="s">
        <v>267</v>
      </c>
      <c r="I9" s="13" t="s">
        <v>269</v>
      </c>
      <c r="J9" s="13" t="s">
        <v>271</v>
      </c>
      <c r="K9" s="17" t="s">
        <v>125</v>
      </c>
      <c r="L9" s="17" t="s">
        <v>131</v>
      </c>
      <c r="M9" s="18"/>
    </row>
    <row r="10">
      <c r="A10" s="14">
        <v>9.0</v>
      </c>
      <c r="B10" s="13" t="s">
        <v>88</v>
      </c>
      <c r="C10" s="13" t="s">
        <v>272</v>
      </c>
      <c r="D10" s="13" t="s">
        <v>274</v>
      </c>
      <c r="E10" s="13" t="s">
        <v>276</v>
      </c>
      <c r="F10" s="13" t="s">
        <v>111</v>
      </c>
      <c r="G10" s="13" t="s">
        <v>279</v>
      </c>
      <c r="H10" s="13" t="s">
        <v>281</v>
      </c>
      <c r="I10" s="13" t="s">
        <v>282</v>
      </c>
      <c r="J10" s="13" t="s">
        <v>283</v>
      </c>
      <c r="K10" s="17" t="s">
        <v>131</v>
      </c>
      <c r="L10" s="17" t="s">
        <v>131</v>
      </c>
      <c r="M10" s="18"/>
    </row>
    <row r="11">
      <c r="A11" s="14">
        <v>10.0</v>
      </c>
      <c r="B11" s="13" t="s">
        <v>88</v>
      </c>
      <c r="C11" s="13" t="s">
        <v>272</v>
      </c>
      <c r="D11" s="13" t="s">
        <v>288</v>
      </c>
      <c r="E11" s="13" t="s">
        <v>289</v>
      </c>
      <c r="F11" s="13" t="s">
        <v>111</v>
      </c>
      <c r="G11" s="13" t="s">
        <v>290</v>
      </c>
      <c r="H11" s="13" t="s">
        <v>293</v>
      </c>
      <c r="I11" s="13" t="s">
        <v>215</v>
      </c>
      <c r="J11" s="13" t="s">
        <v>294</v>
      </c>
      <c r="K11" s="17" t="s">
        <v>131</v>
      </c>
      <c r="L11" s="17" t="s">
        <v>131</v>
      </c>
      <c r="M11" s="18"/>
    </row>
    <row r="12">
      <c r="A12" s="14">
        <v>11.0</v>
      </c>
      <c r="B12" s="13" t="s">
        <v>88</v>
      </c>
      <c r="C12" s="13" t="s">
        <v>85</v>
      </c>
      <c r="D12" s="13" t="s">
        <v>297</v>
      </c>
      <c r="E12" s="13" t="s">
        <v>299</v>
      </c>
      <c r="F12" s="13" t="s">
        <v>111</v>
      </c>
      <c r="G12" s="13" t="s">
        <v>301</v>
      </c>
      <c r="H12" s="13" t="s">
        <v>303</v>
      </c>
      <c r="I12" s="13" t="s">
        <v>215</v>
      </c>
      <c r="J12" s="13" t="s">
        <v>304</v>
      </c>
      <c r="K12" s="17" t="s">
        <v>125</v>
      </c>
      <c r="L12" s="17" t="s">
        <v>131</v>
      </c>
      <c r="M12" s="18"/>
    </row>
    <row r="13">
      <c r="A13" s="14">
        <v>12.0</v>
      </c>
      <c r="B13" s="13" t="s">
        <v>88</v>
      </c>
      <c r="C13" s="13" t="s">
        <v>85</v>
      </c>
      <c r="D13" s="13" t="s">
        <v>310</v>
      </c>
      <c r="E13" s="13" t="s">
        <v>311</v>
      </c>
      <c r="F13" s="13" t="s">
        <v>111</v>
      </c>
      <c r="G13" s="13" t="s">
        <v>312</v>
      </c>
      <c r="H13" s="13" t="s">
        <v>313</v>
      </c>
      <c r="I13" s="13" t="s">
        <v>314</v>
      </c>
      <c r="J13" s="13" t="s">
        <v>315</v>
      </c>
      <c r="K13" s="17" t="s">
        <v>125</v>
      </c>
      <c r="L13" s="17" t="s">
        <v>131</v>
      </c>
      <c r="M13" s="18"/>
    </row>
    <row r="14">
      <c r="A14" s="14">
        <v>13.0</v>
      </c>
      <c r="B14" s="13" t="s">
        <v>88</v>
      </c>
      <c r="C14" s="13" t="s">
        <v>85</v>
      </c>
      <c r="D14" s="13" t="s">
        <v>324</v>
      </c>
      <c r="E14" s="13" t="s">
        <v>325</v>
      </c>
      <c r="F14" s="13" t="s">
        <v>111</v>
      </c>
      <c r="G14" s="13" t="s">
        <v>328</v>
      </c>
      <c r="H14" s="13" t="s">
        <v>329</v>
      </c>
      <c r="I14" s="13" t="s">
        <v>331</v>
      </c>
      <c r="J14" s="13" t="s">
        <v>332</v>
      </c>
      <c r="K14" s="17" t="s">
        <v>125</v>
      </c>
      <c r="L14" s="17" t="s">
        <v>131</v>
      </c>
      <c r="M14" s="18"/>
    </row>
    <row r="15">
      <c r="A15" s="14">
        <v>14.0</v>
      </c>
      <c r="B15" s="13" t="s">
        <v>88</v>
      </c>
      <c r="C15" s="13" t="s">
        <v>85</v>
      </c>
      <c r="D15" s="13" t="s">
        <v>334</v>
      </c>
      <c r="E15" s="13" t="s">
        <v>336</v>
      </c>
      <c r="F15" s="13" t="s">
        <v>111</v>
      </c>
      <c r="G15" s="13" t="s">
        <v>337</v>
      </c>
      <c r="H15" s="13" t="s">
        <v>338</v>
      </c>
      <c r="I15" s="13" t="s">
        <v>339</v>
      </c>
      <c r="J15" s="13" t="s">
        <v>340</v>
      </c>
      <c r="K15" s="17" t="s">
        <v>125</v>
      </c>
      <c r="L15" s="17" t="s">
        <v>131</v>
      </c>
      <c r="M15" s="18"/>
    </row>
    <row r="16">
      <c r="A16" s="14">
        <v>15.0</v>
      </c>
      <c r="B16" s="13" t="s">
        <v>88</v>
      </c>
      <c r="C16" s="13" t="s">
        <v>85</v>
      </c>
      <c r="D16" s="13" t="s">
        <v>346</v>
      </c>
      <c r="E16" s="13" t="s">
        <v>347</v>
      </c>
      <c r="F16" s="13" t="s">
        <v>111</v>
      </c>
      <c r="G16" s="13" t="s">
        <v>349</v>
      </c>
      <c r="H16" s="13" t="s">
        <v>350</v>
      </c>
      <c r="I16" s="13" t="s">
        <v>215</v>
      </c>
      <c r="J16" s="13" t="s">
        <v>353</v>
      </c>
      <c r="K16" s="17" t="s">
        <v>131</v>
      </c>
      <c r="L16" s="17" t="s">
        <v>131</v>
      </c>
      <c r="M16" s="18"/>
    </row>
    <row r="17">
      <c r="A17" s="14">
        <v>16.0</v>
      </c>
      <c r="B17" s="13" t="s">
        <v>88</v>
      </c>
      <c r="C17" s="13" t="s">
        <v>85</v>
      </c>
      <c r="D17" s="13" t="s">
        <v>357</v>
      </c>
      <c r="E17" s="13" t="s">
        <v>358</v>
      </c>
      <c r="F17" s="13" t="s">
        <v>111</v>
      </c>
      <c r="G17" s="13" t="s">
        <v>359</v>
      </c>
      <c r="H17" s="13" t="s">
        <v>360</v>
      </c>
      <c r="I17" s="13" t="s">
        <v>215</v>
      </c>
      <c r="J17" s="13" t="s">
        <v>361</v>
      </c>
      <c r="K17" s="17" t="s">
        <v>125</v>
      </c>
      <c r="L17" s="17" t="s">
        <v>131</v>
      </c>
      <c r="M17" s="18"/>
    </row>
    <row r="18">
      <c r="A18" s="14">
        <v>17.0</v>
      </c>
      <c r="B18" s="13" t="s">
        <v>366</v>
      </c>
      <c r="C18" s="13" t="s">
        <v>367</v>
      </c>
      <c r="D18" s="13" t="s">
        <v>368</v>
      </c>
      <c r="E18" s="13" t="s">
        <v>370</v>
      </c>
      <c r="F18" s="13" t="s">
        <v>111</v>
      </c>
      <c r="G18" s="13" t="s">
        <v>372</v>
      </c>
      <c r="H18" s="13" t="s">
        <v>373</v>
      </c>
      <c r="I18" s="13" t="s">
        <v>215</v>
      </c>
      <c r="J18" s="13" t="s">
        <v>374</v>
      </c>
      <c r="K18" s="17" t="s">
        <v>125</v>
      </c>
      <c r="L18" s="17" t="s">
        <v>131</v>
      </c>
      <c r="M18" s="18"/>
    </row>
    <row r="19">
      <c r="A19" s="14">
        <v>18.0</v>
      </c>
      <c r="B19" s="13" t="s">
        <v>366</v>
      </c>
      <c r="C19" s="13" t="s">
        <v>367</v>
      </c>
      <c r="D19" s="13" t="s">
        <v>379</v>
      </c>
      <c r="E19" s="13" t="s">
        <v>380</v>
      </c>
      <c r="F19" s="13" t="s">
        <v>111</v>
      </c>
      <c r="G19" s="13" t="s">
        <v>381</v>
      </c>
      <c r="H19" s="13" t="s">
        <v>382</v>
      </c>
      <c r="I19" s="13" t="s">
        <v>215</v>
      </c>
      <c r="J19" s="13" t="s">
        <v>383</v>
      </c>
      <c r="K19" s="17" t="s">
        <v>125</v>
      </c>
      <c r="L19" s="17" t="s">
        <v>131</v>
      </c>
      <c r="M19" s="18"/>
    </row>
    <row r="20">
      <c r="A20" s="14">
        <v>19.0</v>
      </c>
      <c r="B20" s="13" t="s">
        <v>366</v>
      </c>
      <c r="C20" s="13" t="s">
        <v>367</v>
      </c>
      <c r="D20" s="13" t="s">
        <v>388</v>
      </c>
      <c r="E20" s="13" t="s">
        <v>390</v>
      </c>
      <c r="F20" s="13" t="s">
        <v>111</v>
      </c>
      <c r="G20" s="13" t="s">
        <v>393</v>
      </c>
      <c r="H20" s="13" t="s">
        <v>373</v>
      </c>
      <c r="I20" s="13" t="s">
        <v>397</v>
      </c>
      <c r="J20" s="13" t="s">
        <v>398</v>
      </c>
      <c r="K20" s="17" t="s">
        <v>125</v>
      </c>
      <c r="L20" s="17" t="s">
        <v>131</v>
      </c>
      <c r="M20" s="18"/>
    </row>
    <row r="21" ht="15.75" customHeight="1">
      <c r="A21" s="14">
        <v>20.0</v>
      </c>
      <c r="B21" s="13" t="s">
        <v>366</v>
      </c>
      <c r="C21" s="13" t="s">
        <v>401</v>
      </c>
      <c r="D21" s="13" t="s">
        <v>402</v>
      </c>
      <c r="E21" s="13" t="s">
        <v>403</v>
      </c>
      <c r="F21" s="13" t="s">
        <v>111</v>
      </c>
      <c r="G21" s="13" t="s">
        <v>404</v>
      </c>
      <c r="H21" s="13" t="s">
        <v>405</v>
      </c>
      <c r="I21" s="13" t="s">
        <v>406</v>
      </c>
      <c r="J21" s="13" t="s">
        <v>408</v>
      </c>
      <c r="K21" s="17" t="s">
        <v>125</v>
      </c>
      <c r="L21" s="17" t="s">
        <v>131</v>
      </c>
      <c r="M21" s="18"/>
    </row>
    <row r="22" ht="15.75" customHeight="1">
      <c r="A22" s="14">
        <v>21.0</v>
      </c>
      <c r="B22" s="13" t="s">
        <v>366</v>
      </c>
      <c r="C22" s="13" t="s">
        <v>401</v>
      </c>
      <c r="D22" s="13" t="s">
        <v>410</v>
      </c>
      <c r="E22" s="13" t="s">
        <v>412</v>
      </c>
      <c r="F22" s="13" t="s">
        <v>111</v>
      </c>
      <c r="G22" s="13" t="s">
        <v>414</v>
      </c>
      <c r="H22" s="13" t="s">
        <v>415</v>
      </c>
      <c r="I22" s="13" t="s">
        <v>416</v>
      </c>
      <c r="J22" s="13" t="s">
        <v>419</v>
      </c>
      <c r="K22" s="17" t="s">
        <v>131</v>
      </c>
      <c r="L22" s="17" t="s">
        <v>131</v>
      </c>
      <c r="M22" s="18"/>
    </row>
    <row r="23" ht="15.75" customHeight="1">
      <c r="A23" s="14">
        <v>22.0</v>
      </c>
      <c r="B23" s="13" t="s">
        <v>366</v>
      </c>
      <c r="C23" s="13" t="s">
        <v>401</v>
      </c>
      <c r="D23" s="13" t="s">
        <v>424</v>
      </c>
      <c r="E23" s="13" t="s">
        <v>425</v>
      </c>
      <c r="F23" s="13" t="s">
        <v>111</v>
      </c>
      <c r="G23" s="13" t="s">
        <v>426</v>
      </c>
      <c r="H23" s="13" t="s">
        <v>427</v>
      </c>
      <c r="I23" s="13" t="s">
        <v>429</v>
      </c>
      <c r="J23" s="13" t="s">
        <v>430</v>
      </c>
      <c r="K23" s="17" t="s">
        <v>125</v>
      </c>
      <c r="L23" s="17" t="s">
        <v>131</v>
      </c>
      <c r="M23" s="18"/>
    </row>
    <row r="24" ht="15.75" customHeight="1">
      <c r="A24" s="14">
        <v>23.0</v>
      </c>
      <c r="B24" s="13" t="s">
        <v>366</v>
      </c>
      <c r="C24" s="13" t="s">
        <v>401</v>
      </c>
      <c r="D24" s="13" t="s">
        <v>436</v>
      </c>
      <c r="E24" s="13" t="s">
        <v>440</v>
      </c>
      <c r="F24" s="13" t="s">
        <v>111</v>
      </c>
      <c r="G24" s="13" t="s">
        <v>443</v>
      </c>
      <c r="H24" s="13" t="s">
        <v>444</v>
      </c>
      <c r="I24" s="13" t="s">
        <v>446</v>
      </c>
      <c r="J24" s="13" t="s">
        <v>447</v>
      </c>
      <c r="K24" s="17" t="s">
        <v>125</v>
      </c>
      <c r="L24" s="17" t="s">
        <v>131</v>
      </c>
      <c r="M24" s="18"/>
    </row>
    <row r="25" ht="15.75" customHeight="1">
      <c r="A25" s="14">
        <v>24.0</v>
      </c>
      <c r="B25" s="13" t="s">
        <v>366</v>
      </c>
      <c r="C25" s="13" t="s">
        <v>401</v>
      </c>
      <c r="D25" s="13" t="s">
        <v>452</v>
      </c>
      <c r="E25" s="13" t="s">
        <v>453</v>
      </c>
      <c r="F25" s="13" t="s">
        <v>111</v>
      </c>
      <c r="G25" s="13" t="s">
        <v>443</v>
      </c>
      <c r="H25" s="13" t="s">
        <v>455</v>
      </c>
      <c r="I25" s="13" t="s">
        <v>456</v>
      </c>
      <c r="J25" s="13" t="s">
        <v>458</v>
      </c>
      <c r="K25" s="17" t="s">
        <v>125</v>
      </c>
      <c r="L25" s="17" t="s">
        <v>131</v>
      </c>
      <c r="M25" s="18"/>
    </row>
    <row r="26" ht="15.75" customHeight="1">
      <c r="A26" s="14">
        <v>25.0</v>
      </c>
      <c r="B26" s="13" t="s">
        <v>366</v>
      </c>
      <c r="C26" s="13" t="s">
        <v>464</v>
      </c>
      <c r="D26" s="13" t="s">
        <v>465</v>
      </c>
      <c r="E26" s="13" t="s">
        <v>467</v>
      </c>
      <c r="F26" s="13" t="s">
        <v>111</v>
      </c>
      <c r="G26" s="13" t="s">
        <v>468</v>
      </c>
      <c r="H26" s="13" t="s">
        <v>469</v>
      </c>
      <c r="I26" s="13" t="s">
        <v>470</v>
      </c>
      <c r="J26" s="13" t="s">
        <v>471</v>
      </c>
      <c r="K26" s="17" t="s">
        <v>125</v>
      </c>
      <c r="L26" s="17" t="s">
        <v>131</v>
      </c>
      <c r="M26" s="18"/>
    </row>
    <row r="27" ht="15.75" customHeight="1">
      <c r="A27" s="14">
        <v>26.0</v>
      </c>
      <c r="B27" s="13" t="s">
        <v>474</v>
      </c>
      <c r="C27" s="13" t="s">
        <v>476</v>
      </c>
      <c r="D27" s="13" t="s">
        <v>477</v>
      </c>
      <c r="E27" s="13" t="s">
        <v>478</v>
      </c>
      <c r="F27" s="13" t="s">
        <v>111</v>
      </c>
      <c r="G27" s="13" t="s">
        <v>480</v>
      </c>
      <c r="H27" s="13" t="s">
        <v>481</v>
      </c>
      <c r="I27" s="13" t="s">
        <v>215</v>
      </c>
      <c r="J27" s="13" t="s">
        <v>483</v>
      </c>
      <c r="K27" s="17" t="s">
        <v>125</v>
      </c>
      <c r="L27" s="17" t="s">
        <v>131</v>
      </c>
      <c r="M27" s="18"/>
    </row>
    <row r="28" ht="15.75" customHeight="1">
      <c r="A28" s="14">
        <v>27.0</v>
      </c>
      <c r="B28" s="13" t="s">
        <v>474</v>
      </c>
      <c r="C28" s="13" t="s">
        <v>476</v>
      </c>
      <c r="D28" s="13" t="s">
        <v>488</v>
      </c>
      <c r="E28" s="13" t="s">
        <v>490</v>
      </c>
      <c r="F28" s="13" t="s">
        <v>111</v>
      </c>
      <c r="G28" s="13" t="s">
        <v>492</v>
      </c>
      <c r="H28" s="13" t="s">
        <v>493</v>
      </c>
      <c r="I28" s="13" t="s">
        <v>561</v>
      </c>
      <c r="J28" s="13" t="s">
        <v>383</v>
      </c>
      <c r="K28" s="17" t="s">
        <v>125</v>
      </c>
      <c r="L28" s="17" t="s">
        <v>131</v>
      </c>
      <c r="M28" s="18"/>
    </row>
    <row r="29" ht="15.75" customHeight="1">
      <c r="A29" s="14">
        <v>28.0</v>
      </c>
      <c r="B29" s="13" t="s">
        <v>474</v>
      </c>
      <c r="C29" s="13" t="s">
        <v>581</v>
      </c>
      <c r="D29" s="13" t="s">
        <v>583</v>
      </c>
      <c r="E29" s="13" t="s">
        <v>585</v>
      </c>
      <c r="F29" s="13" t="s">
        <v>111</v>
      </c>
      <c r="G29" s="13" t="s">
        <v>591</v>
      </c>
      <c r="H29" s="13" t="s">
        <v>592</v>
      </c>
      <c r="I29" s="13" t="s">
        <v>593</v>
      </c>
      <c r="J29" s="13" t="s">
        <v>595</v>
      </c>
      <c r="K29" s="17" t="s">
        <v>125</v>
      </c>
      <c r="L29" s="17" t="s">
        <v>131</v>
      </c>
      <c r="M29" s="18"/>
    </row>
    <row r="30" ht="15.75" customHeight="1">
      <c r="A30" s="14">
        <v>29.0</v>
      </c>
      <c r="B30" s="13" t="s">
        <v>474</v>
      </c>
      <c r="C30" s="13" t="s">
        <v>581</v>
      </c>
      <c r="D30" s="13" t="s">
        <v>606</v>
      </c>
      <c r="E30" s="13" t="s">
        <v>607</v>
      </c>
      <c r="F30" s="13" t="s">
        <v>111</v>
      </c>
      <c r="G30" s="13" t="s">
        <v>609</v>
      </c>
      <c r="H30" s="13" t="s">
        <v>610</v>
      </c>
      <c r="I30" s="13" t="s">
        <v>612</v>
      </c>
      <c r="J30" s="13" t="s">
        <v>613</v>
      </c>
      <c r="K30" s="17" t="s">
        <v>125</v>
      </c>
      <c r="L30" s="17" t="s">
        <v>131</v>
      </c>
      <c r="M30" s="18"/>
    </row>
    <row r="31" ht="15.75" customHeight="1">
      <c r="A31" s="14">
        <v>30.0</v>
      </c>
      <c r="B31" s="13" t="s">
        <v>474</v>
      </c>
      <c r="C31" s="13" t="s">
        <v>581</v>
      </c>
      <c r="D31" s="13" t="s">
        <v>617</v>
      </c>
      <c r="E31" s="13" t="s">
        <v>618</v>
      </c>
      <c r="F31" s="13" t="s">
        <v>111</v>
      </c>
      <c r="G31" s="13" t="s">
        <v>620</v>
      </c>
      <c r="H31" s="13" t="s">
        <v>622</v>
      </c>
      <c r="I31" s="13" t="s">
        <v>623</v>
      </c>
      <c r="J31" s="13" t="s">
        <v>625</v>
      </c>
      <c r="K31" s="17" t="s">
        <v>125</v>
      </c>
      <c r="L31" s="17" t="s">
        <v>131</v>
      </c>
      <c r="M31" s="18"/>
    </row>
    <row r="32" ht="15.75" customHeight="1">
      <c r="A32" s="14">
        <v>31.0</v>
      </c>
      <c r="B32" s="13" t="s">
        <v>474</v>
      </c>
      <c r="C32" s="13" t="s">
        <v>581</v>
      </c>
      <c r="D32" s="13" t="s">
        <v>635</v>
      </c>
      <c r="E32" s="13" t="s">
        <v>636</v>
      </c>
      <c r="F32" s="13" t="s">
        <v>111</v>
      </c>
      <c r="G32" s="13" t="s">
        <v>639</v>
      </c>
      <c r="H32" s="13" t="s">
        <v>640</v>
      </c>
      <c r="I32" s="13" t="s">
        <v>641</v>
      </c>
      <c r="J32" s="13" t="s">
        <v>642</v>
      </c>
      <c r="K32" s="17" t="s">
        <v>125</v>
      </c>
      <c r="L32" s="17" t="s">
        <v>131</v>
      </c>
      <c r="M32" s="18"/>
    </row>
    <row r="33" ht="15.75" customHeight="1">
      <c r="A33" s="14">
        <v>32.0</v>
      </c>
      <c r="B33" s="13" t="s">
        <v>474</v>
      </c>
      <c r="C33" s="13" t="s">
        <v>581</v>
      </c>
      <c r="D33" s="13" t="s">
        <v>651</v>
      </c>
      <c r="E33" s="13" t="s">
        <v>652</v>
      </c>
      <c r="F33" s="13" t="s">
        <v>111</v>
      </c>
      <c r="G33" s="13" t="s">
        <v>653</v>
      </c>
      <c r="H33" s="13" t="s">
        <v>654</v>
      </c>
      <c r="I33" s="13" t="s">
        <v>656</v>
      </c>
      <c r="J33" s="13" t="s">
        <v>660</v>
      </c>
      <c r="K33" s="17" t="s">
        <v>125</v>
      </c>
      <c r="L33" s="17" t="s">
        <v>131</v>
      </c>
      <c r="M33" s="18"/>
    </row>
    <row r="34" ht="15.75" customHeight="1">
      <c r="A34" s="14">
        <v>33.0</v>
      </c>
      <c r="B34" s="13" t="s">
        <v>474</v>
      </c>
      <c r="C34" s="13" t="s">
        <v>581</v>
      </c>
      <c r="D34" s="13" t="s">
        <v>668</v>
      </c>
      <c r="E34" s="13" t="s">
        <v>669</v>
      </c>
      <c r="F34" s="13" t="s">
        <v>111</v>
      </c>
      <c r="G34" s="13" t="s">
        <v>670</v>
      </c>
      <c r="H34" s="13" t="s">
        <v>671</v>
      </c>
      <c r="I34" s="13" t="s">
        <v>672</v>
      </c>
      <c r="J34" s="13" t="s">
        <v>673</v>
      </c>
      <c r="K34" s="17" t="s">
        <v>125</v>
      </c>
      <c r="L34" s="17" t="s">
        <v>131</v>
      </c>
      <c r="M34" s="18"/>
    </row>
    <row r="35" ht="15.75" customHeight="1">
      <c r="A35" s="14">
        <v>34.0</v>
      </c>
      <c r="B35" s="13" t="s">
        <v>474</v>
      </c>
      <c r="C35" s="13" t="s">
        <v>682</v>
      </c>
      <c r="D35" s="13" t="s">
        <v>683</v>
      </c>
      <c r="E35" s="13" t="s">
        <v>684</v>
      </c>
      <c r="F35" s="13" t="s">
        <v>111</v>
      </c>
      <c r="G35" s="13" t="s">
        <v>685</v>
      </c>
      <c r="H35" s="13" t="s">
        <v>686</v>
      </c>
      <c r="I35" s="13" t="s">
        <v>687</v>
      </c>
      <c r="J35" s="13" t="s">
        <v>688</v>
      </c>
      <c r="K35" s="17" t="s">
        <v>125</v>
      </c>
      <c r="L35" s="17" t="s">
        <v>131</v>
      </c>
      <c r="M35" s="18"/>
    </row>
    <row r="36" ht="15.75" customHeight="1">
      <c r="A36" s="14">
        <v>35.0</v>
      </c>
      <c r="B36" s="13" t="s">
        <v>474</v>
      </c>
      <c r="C36" s="13" t="s">
        <v>698</v>
      </c>
      <c r="D36" s="13" t="s">
        <v>699</v>
      </c>
      <c r="E36" s="13" t="s">
        <v>700</v>
      </c>
      <c r="F36" s="13" t="s">
        <v>111</v>
      </c>
      <c r="G36" s="13" t="s">
        <v>701</v>
      </c>
      <c r="H36" s="13" t="s">
        <v>702</v>
      </c>
      <c r="I36" s="13" t="s">
        <v>215</v>
      </c>
      <c r="J36" s="13" t="s">
        <v>703</v>
      </c>
      <c r="K36" s="17" t="s">
        <v>125</v>
      </c>
      <c r="L36" s="17" t="s">
        <v>131</v>
      </c>
      <c r="M36" s="18"/>
    </row>
    <row r="37" ht="15.75" customHeight="1">
      <c r="A37" s="14">
        <v>36.0</v>
      </c>
      <c r="B37" s="13" t="s">
        <v>708</v>
      </c>
      <c r="C37" s="13" t="s">
        <v>709</v>
      </c>
      <c r="D37" s="13" t="s">
        <v>711</v>
      </c>
      <c r="E37" s="13" t="s">
        <v>714</v>
      </c>
      <c r="F37" s="13" t="s">
        <v>111</v>
      </c>
      <c r="G37" s="13" t="s">
        <v>715</v>
      </c>
      <c r="H37" s="13" t="s">
        <v>716</v>
      </c>
      <c r="I37" s="13" t="s">
        <v>717</v>
      </c>
      <c r="J37" s="13" t="s">
        <v>719</v>
      </c>
      <c r="K37" s="17" t="s">
        <v>125</v>
      </c>
      <c r="L37" s="17" t="s">
        <v>131</v>
      </c>
      <c r="M37" s="18"/>
    </row>
    <row r="38" ht="15.75" customHeight="1">
      <c r="A38" s="14">
        <v>37.0</v>
      </c>
      <c r="B38" s="13" t="s">
        <v>708</v>
      </c>
      <c r="C38" s="13" t="s">
        <v>709</v>
      </c>
      <c r="D38" s="13" t="s">
        <v>723</v>
      </c>
      <c r="E38" s="13" t="s">
        <v>724</v>
      </c>
      <c r="F38" s="13" t="s">
        <v>111</v>
      </c>
      <c r="G38" s="13" t="s">
        <v>726</v>
      </c>
      <c r="H38" s="13" t="s">
        <v>728</v>
      </c>
      <c r="I38" s="13" t="s">
        <v>215</v>
      </c>
      <c r="J38" s="13" t="s">
        <v>731</v>
      </c>
      <c r="K38" s="17" t="s">
        <v>125</v>
      </c>
      <c r="L38" s="17" t="s">
        <v>131</v>
      </c>
      <c r="M38" s="18"/>
    </row>
    <row r="39" ht="15.75" customHeight="1">
      <c r="A39" s="14">
        <v>38.0</v>
      </c>
      <c r="B39" s="13" t="s">
        <v>708</v>
      </c>
      <c r="C39" s="13" t="s">
        <v>735</v>
      </c>
      <c r="D39" s="13" t="s">
        <v>736</v>
      </c>
      <c r="E39" s="13" t="s">
        <v>737</v>
      </c>
      <c r="F39" s="13" t="s">
        <v>111</v>
      </c>
      <c r="G39" s="13" t="s">
        <v>740</v>
      </c>
      <c r="H39" s="13" t="s">
        <v>743</v>
      </c>
      <c r="I39" s="13" t="s">
        <v>746</v>
      </c>
      <c r="J39" s="13" t="s">
        <v>749</v>
      </c>
      <c r="K39" s="17" t="s">
        <v>125</v>
      </c>
      <c r="L39" s="17" t="s">
        <v>131</v>
      </c>
      <c r="M39" s="18"/>
    </row>
    <row r="40" ht="15.75" customHeight="1">
      <c r="A40" s="14">
        <v>39.0</v>
      </c>
      <c r="B40" s="13" t="s">
        <v>708</v>
      </c>
      <c r="C40" s="13" t="s">
        <v>752</v>
      </c>
      <c r="D40" s="13" t="s">
        <v>753</v>
      </c>
      <c r="E40" s="13" t="s">
        <v>755</v>
      </c>
      <c r="F40" s="13" t="s">
        <v>111</v>
      </c>
      <c r="G40" s="13" t="s">
        <v>757</v>
      </c>
      <c r="H40" s="13" t="s">
        <v>759</v>
      </c>
      <c r="I40" s="13" t="s">
        <v>761</v>
      </c>
      <c r="J40" s="13" t="s">
        <v>763</v>
      </c>
      <c r="K40" s="17" t="s">
        <v>125</v>
      </c>
      <c r="L40" s="17" t="s">
        <v>131</v>
      </c>
      <c r="M40" s="18"/>
    </row>
    <row r="41" ht="15.75" customHeight="1">
      <c r="A41" s="14">
        <v>40.0</v>
      </c>
      <c r="B41" s="13" t="s">
        <v>708</v>
      </c>
      <c r="C41" s="13" t="s">
        <v>752</v>
      </c>
      <c r="D41" s="13" t="s">
        <v>771</v>
      </c>
      <c r="E41" s="13" t="s">
        <v>772</v>
      </c>
      <c r="F41" s="13" t="s">
        <v>111</v>
      </c>
      <c r="G41" s="13" t="s">
        <v>776</v>
      </c>
      <c r="H41" s="13" t="s">
        <v>779</v>
      </c>
      <c r="I41" s="13" t="s">
        <v>781</v>
      </c>
      <c r="J41" s="13" t="s">
        <v>782</v>
      </c>
      <c r="K41" s="17" t="s">
        <v>125</v>
      </c>
      <c r="L41" s="17" t="s">
        <v>131</v>
      </c>
      <c r="M41" s="18"/>
    </row>
    <row r="42" ht="15.75" customHeight="1">
      <c r="A42" s="14">
        <v>41.0</v>
      </c>
      <c r="B42" s="13" t="s">
        <v>708</v>
      </c>
      <c r="C42" s="13" t="s">
        <v>789</v>
      </c>
      <c r="D42" s="13" t="s">
        <v>793</v>
      </c>
      <c r="E42" s="13" t="s">
        <v>794</v>
      </c>
      <c r="F42" s="13" t="s">
        <v>111</v>
      </c>
      <c r="G42" s="13" t="s">
        <v>795</v>
      </c>
      <c r="H42" s="13" t="s">
        <v>796</v>
      </c>
      <c r="I42" s="13" t="s">
        <v>797</v>
      </c>
      <c r="J42" s="13" t="s">
        <v>798</v>
      </c>
      <c r="K42" s="17" t="s">
        <v>125</v>
      </c>
      <c r="L42" s="17" t="s">
        <v>131</v>
      </c>
      <c r="M42" s="18"/>
    </row>
    <row r="43" ht="15.75" customHeight="1">
      <c r="A43" s="14">
        <v>42.0</v>
      </c>
      <c r="B43" s="13" t="s">
        <v>708</v>
      </c>
      <c r="C43" s="13" t="s">
        <v>789</v>
      </c>
      <c r="D43" s="13" t="s">
        <v>803</v>
      </c>
      <c r="E43" s="13" t="s">
        <v>804</v>
      </c>
      <c r="F43" s="13" t="s">
        <v>111</v>
      </c>
      <c r="G43" s="13" t="s">
        <v>805</v>
      </c>
      <c r="H43" s="13" t="s">
        <v>806</v>
      </c>
      <c r="I43" s="13" t="s">
        <v>808</v>
      </c>
      <c r="J43" s="13" t="s">
        <v>810</v>
      </c>
      <c r="K43" s="17" t="s">
        <v>125</v>
      </c>
      <c r="L43" s="17" t="s">
        <v>131</v>
      </c>
      <c r="M43" s="18"/>
    </row>
    <row r="44" ht="15.75" customHeight="1">
      <c r="A44" s="14">
        <v>43.0</v>
      </c>
      <c r="B44" s="13" t="s">
        <v>708</v>
      </c>
      <c r="C44" s="13" t="s">
        <v>811</v>
      </c>
      <c r="D44" s="13" t="s">
        <v>813</v>
      </c>
      <c r="E44" s="13" t="s">
        <v>815</v>
      </c>
      <c r="F44" s="13" t="s">
        <v>111</v>
      </c>
      <c r="G44" s="13" t="s">
        <v>816</v>
      </c>
      <c r="H44" s="13" t="s">
        <v>817</v>
      </c>
      <c r="I44" s="13" t="s">
        <v>818</v>
      </c>
      <c r="J44" s="13" t="s">
        <v>819</v>
      </c>
      <c r="K44" s="17" t="s">
        <v>125</v>
      </c>
      <c r="L44" s="17" t="s">
        <v>131</v>
      </c>
      <c r="M44" s="18"/>
    </row>
    <row r="45" ht="15.75" customHeight="1">
      <c r="A45" s="14">
        <v>44.0</v>
      </c>
      <c r="B45" s="13" t="s">
        <v>825</v>
      </c>
      <c r="C45" s="13" t="s">
        <v>827</v>
      </c>
      <c r="D45" s="13" t="s">
        <v>828</v>
      </c>
      <c r="E45" s="13" t="s">
        <v>829</v>
      </c>
      <c r="F45" s="13" t="s">
        <v>111</v>
      </c>
      <c r="G45" s="13" t="s">
        <v>830</v>
      </c>
      <c r="H45" s="13" t="s">
        <v>832</v>
      </c>
      <c r="I45" s="13" t="s">
        <v>834</v>
      </c>
      <c r="J45" s="13" t="s">
        <v>835</v>
      </c>
      <c r="K45" s="17" t="s">
        <v>125</v>
      </c>
      <c r="L45" s="17" t="s">
        <v>131</v>
      </c>
      <c r="M45" s="18"/>
    </row>
    <row r="46" ht="15.75" customHeight="1">
      <c r="A46" s="14">
        <v>45.0</v>
      </c>
      <c r="B46" s="13" t="s">
        <v>825</v>
      </c>
      <c r="C46" s="13" t="s">
        <v>827</v>
      </c>
      <c r="D46" s="13" t="s">
        <v>840</v>
      </c>
      <c r="E46" s="13" t="s">
        <v>842</v>
      </c>
      <c r="F46" s="13" t="s">
        <v>111</v>
      </c>
      <c r="G46" s="13" t="s">
        <v>845</v>
      </c>
      <c r="H46" s="13" t="s">
        <v>847</v>
      </c>
      <c r="I46" s="13" t="s">
        <v>215</v>
      </c>
      <c r="J46" s="13" t="s">
        <v>731</v>
      </c>
      <c r="K46" s="17" t="s">
        <v>125</v>
      </c>
      <c r="L46" s="17" t="s">
        <v>131</v>
      </c>
      <c r="M46" s="18"/>
    </row>
    <row r="47" ht="15.75" customHeight="1">
      <c r="A47" s="14">
        <v>46.0</v>
      </c>
      <c r="B47" s="13" t="s">
        <v>825</v>
      </c>
      <c r="C47" s="13" t="s">
        <v>852</v>
      </c>
      <c r="D47" s="13" t="s">
        <v>854</v>
      </c>
      <c r="E47" s="13" t="s">
        <v>855</v>
      </c>
      <c r="F47" s="13" t="s">
        <v>111</v>
      </c>
      <c r="G47" s="13" t="s">
        <v>858</v>
      </c>
      <c r="H47" s="13" t="s">
        <v>860</v>
      </c>
      <c r="I47" s="13" t="s">
        <v>862</v>
      </c>
      <c r="J47" s="13" t="s">
        <v>865</v>
      </c>
      <c r="K47" s="17" t="s">
        <v>125</v>
      </c>
      <c r="L47" s="17" t="s">
        <v>131</v>
      </c>
      <c r="M47" s="18"/>
    </row>
    <row r="48" ht="15.75" customHeight="1">
      <c r="A48" s="14">
        <v>47.0</v>
      </c>
      <c r="B48" s="13" t="s">
        <v>825</v>
      </c>
      <c r="C48" s="13" t="s">
        <v>852</v>
      </c>
      <c r="D48" s="13" t="s">
        <v>871</v>
      </c>
      <c r="E48" s="13" t="s">
        <v>873</v>
      </c>
      <c r="F48" s="13" t="s">
        <v>111</v>
      </c>
      <c r="G48" s="13" t="s">
        <v>876</v>
      </c>
      <c r="H48" s="13" t="s">
        <v>878</v>
      </c>
      <c r="I48" s="13" t="s">
        <v>880</v>
      </c>
      <c r="J48" s="13" t="s">
        <v>884</v>
      </c>
      <c r="K48" s="17" t="s">
        <v>125</v>
      </c>
      <c r="L48" s="17" t="s">
        <v>131</v>
      </c>
      <c r="M48" s="18"/>
    </row>
    <row r="49" ht="15.75" customHeight="1">
      <c r="A49" s="14">
        <v>48.0</v>
      </c>
      <c r="B49" s="13" t="s">
        <v>825</v>
      </c>
      <c r="C49" s="13" t="s">
        <v>852</v>
      </c>
      <c r="D49" s="13" t="s">
        <v>888</v>
      </c>
      <c r="E49" s="13" t="s">
        <v>890</v>
      </c>
      <c r="F49" s="13" t="s">
        <v>111</v>
      </c>
      <c r="G49" s="13" t="s">
        <v>893</v>
      </c>
      <c r="H49" s="13" t="s">
        <v>896</v>
      </c>
      <c r="I49" s="13" t="s">
        <v>215</v>
      </c>
      <c r="J49" s="13" t="s">
        <v>897</v>
      </c>
      <c r="K49" s="17" t="s">
        <v>125</v>
      </c>
      <c r="L49" s="17" t="s">
        <v>131</v>
      </c>
      <c r="M49" s="18"/>
    </row>
    <row r="50" ht="15.75" customHeight="1">
      <c r="A50" s="14">
        <v>49.0</v>
      </c>
      <c r="B50" s="13" t="s">
        <v>901</v>
      </c>
      <c r="C50" s="13" t="s">
        <v>476</v>
      </c>
      <c r="D50" s="13" t="s">
        <v>904</v>
      </c>
      <c r="E50" s="13" t="s">
        <v>906</v>
      </c>
      <c r="F50" s="13" t="s">
        <v>111</v>
      </c>
      <c r="G50" s="13" t="s">
        <v>909</v>
      </c>
      <c r="H50" s="13" t="s">
        <v>911</v>
      </c>
      <c r="I50" s="13" t="s">
        <v>215</v>
      </c>
      <c r="J50" s="13" t="s">
        <v>914</v>
      </c>
      <c r="K50" s="17" t="s">
        <v>125</v>
      </c>
      <c r="L50" s="17" t="s">
        <v>131</v>
      </c>
      <c r="M50" s="18"/>
    </row>
    <row r="51" ht="15.75" customHeight="1">
      <c r="A51" s="14">
        <v>50.0</v>
      </c>
      <c r="B51" s="13" t="s">
        <v>901</v>
      </c>
      <c r="C51" s="13" t="s">
        <v>476</v>
      </c>
      <c r="D51" s="13" t="s">
        <v>916</v>
      </c>
      <c r="E51" s="13" t="s">
        <v>917</v>
      </c>
      <c r="F51" s="13" t="s">
        <v>111</v>
      </c>
      <c r="G51" s="13" t="s">
        <v>918</v>
      </c>
      <c r="H51" s="13" t="s">
        <v>921</v>
      </c>
      <c r="I51" s="13" t="s">
        <v>923</v>
      </c>
      <c r="J51" s="13" t="s">
        <v>925</v>
      </c>
      <c r="K51" s="17" t="s">
        <v>131</v>
      </c>
      <c r="L51" s="17" t="s">
        <v>131</v>
      </c>
      <c r="M51" s="18"/>
    </row>
    <row r="52" ht="15.75" customHeight="1">
      <c r="A52" s="14">
        <v>51.0</v>
      </c>
      <c r="B52" s="13" t="s">
        <v>901</v>
      </c>
      <c r="C52" s="13" t="s">
        <v>476</v>
      </c>
      <c r="D52" s="13" t="s">
        <v>932</v>
      </c>
      <c r="E52" s="13" t="s">
        <v>933</v>
      </c>
      <c r="F52" s="13" t="s">
        <v>111</v>
      </c>
      <c r="G52" s="13" t="s">
        <v>934</v>
      </c>
      <c r="H52" s="13" t="s">
        <v>935</v>
      </c>
      <c r="I52" s="13" t="s">
        <v>215</v>
      </c>
      <c r="J52" s="13" t="s">
        <v>398</v>
      </c>
      <c r="K52" s="17" t="s">
        <v>125</v>
      </c>
      <c r="L52" s="17" t="s">
        <v>131</v>
      </c>
      <c r="M52" s="18"/>
    </row>
    <row r="53" ht="15.75" customHeight="1">
      <c r="A53" s="14">
        <v>52.0</v>
      </c>
      <c r="B53" s="13" t="s">
        <v>901</v>
      </c>
      <c r="C53" s="13" t="s">
        <v>941</v>
      </c>
      <c r="D53" s="13" t="s">
        <v>943</v>
      </c>
      <c r="E53" s="13" t="s">
        <v>945</v>
      </c>
      <c r="F53" s="13" t="s">
        <v>111</v>
      </c>
      <c r="G53" s="13" t="s">
        <v>947</v>
      </c>
      <c r="H53" s="13" t="s">
        <v>948</v>
      </c>
      <c r="I53" s="13" t="s">
        <v>949</v>
      </c>
      <c r="J53" s="13" t="s">
        <v>951</v>
      </c>
      <c r="K53" s="17" t="s">
        <v>125</v>
      </c>
      <c r="L53" s="17" t="s">
        <v>131</v>
      </c>
      <c r="M53" s="18"/>
    </row>
    <row r="54" ht="15.75" customHeight="1">
      <c r="A54" s="14">
        <v>53.0</v>
      </c>
      <c r="B54" s="13" t="s">
        <v>901</v>
      </c>
      <c r="C54" s="13" t="s">
        <v>941</v>
      </c>
      <c r="D54" s="13" t="s">
        <v>956</v>
      </c>
      <c r="E54" s="13" t="s">
        <v>957</v>
      </c>
      <c r="F54" s="13" t="s">
        <v>111</v>
      </c>
      <c r="G54" s="13" t="s">
        <v>670</v>
      </c>
      <c r="H54" s="13" t="s">
        <v>959</v>
      </c>
      <c r="I54" s="13" t="s">
        <v>960</v>
      </c>
      <c r="J54" s="13" t="s">
        <v>963</v>
      </c>
      <c r="K54" s="17" t="s">
        <v>125</v>
      </c>
      <c r="L54" s="17" t="s">
        <v>131</v>
      </c>
      <c r="M54" s="18"/>
    </row>
    <row r="55" ht="15.75" customHeight="1">
      <c r="A55" s="14">
        <v>54.0</v>
      </c>
      <c r="B55" s="13" t="s">
        <v>967</v>
      </c>
      <c r="C55" s="13" t="s">
        <v>53</v>
      </c>
      <c r="D55" s="13" t="s">
        <v>968</v>
      </c>
      <c r="E55" s="13" t="s">
        <v>969</v>
      </c>
      <c r="F55" s="13" t="s">
        <v>111</v>
      </c>
      <c r="G55" s="13" t="s">
        <v>970</v>
      </c>
      <c r="H55" s="13" t="s">
        <v>972</v>
      </c>
      <c r="I55" s="13" t="s">
        <v>215</v>
      </c>
      <c r="J55" s="13" t="s">
        <v>976</v>
      </c>
      <c r="K55" s="17" t="s">
        <v>219</v>
      </c>
      <c r="L55" s="17" t="s">
        <v>219</v>
      </c>
      <c r="M55" s="18"/>
    </row>
    <row r="56" ht="15.75" customHeight="1">
      <c r="A56" s="14">
        <v>55.0</v>
      </c>
      <c r="B56" s="13" t="s">
        <v>967</v>
      </c>
      <c r="C56" s="13" t="s">
        <v>53</v>
      </c>
      <c r="D56" s="13" t="s">
        <v>980</v>
      </c>
      <c r="E56" s="13" t="s">
        <v>982</v>
      </c>
      <c r="F56" s="13" t="s">
        <v>111</v>
      </c>
      <c r="G56" s="13" t="s">
        <v>984</v>
      </c>
      <c r="H56" s="13" t="s">
        <v>985</v>
      </c>
      <c r="I56" s="13" t="s">
        <v>986</v>
      </c>
      <c r="J56" s="13" t="s">
        <v>987</v>
      </c>
      <c r="K56" s="17" t="s">
        <v>219</v>
      </c>
      <c r="L56" s="17" t="s">
        <v>219</v>
      </c>
      <c r="M56" s="18"/>
    </row>
    <row r="57" ht="15.75" customHeight="1">
      <c r="A57" s="14">
        <v>56.0</v>
      </c>
      <c r="B57" s="13" t="s">
        <v>967</v>
      </c>
      <c r="C57" s="13" t="s">
        <v>53</v>
      </c>
      <c r="D57" s="13" t="s">
        <v>994</v>
      </c>
      <c r="E57" s="13" t="s">
        <v>995</v>
      </c>
      <c r="F57" s="13" t="s">
        <v>111</v>
      </c>
      <c r="G57" s="13" t="s">
        <v>996</v>
      </c>
      <c r="H57" s="13" t="s">
        <v>997</v>
      </c>
      <c r="I57" s="13" t="s">
        <v>999</v>
      </c>
      <c r="J57" s="13" t="s">
        <v>1001</v>
      </c>
      <c r="K57" s="17" t="s">
        <v>219</v>
      </c>
      <c r="L57" s="17" t="s">
        <v>219</v>
      </c>
      <c r="M57" s="18"/>
    </row>
    <row r="58" ht="15.75" customHeight="1">
      <c r="A58" s="14">
        <v>57.0</v>
      </c>
      <c r="B58" s="13" t="s">
        <v>967</v>
      </c>
      <c r="C58" s="13" t="s">
        <v>47</v>
      </c>
      <c r="D58" s="13" t="s">
        <v>1008</v>
      </c>
      <c r="E58" s="13" t="s">
        <v>1009</v>
      </c>
      <c r="F58" s="13" t="s">
        <v>111</v>
      </c>
      <c r="G58" s="13" t="s">
        <v>1010</v>
      </c>
      <c r="H58" s="13" t="s">
        <v>1012</v>
      </c>
      <c r="I58" s="13" t="s">
        <v>1014</v>
      </c>
      <c r="J58" s="13" t="s">
        <v>1015</v>
      </c>
      <c r="K58" s="17" t="s">
        <v>219</v>
      </c>
      <c r="L58" s="17" t="s">
        <v>219</v>
      </c>
      <c r="M58" s="18"/>
    </row>
    <row r="59" ht="15.75" customHeight="1">
      <c r="A59" s="14">
        <v>58.0</v>
      </c>
      <c r="B59" s="13" t="s">
        <v>967</v>
      </c>
      <c r="C59" s="13" t="s">
        <v>47</v>
      </c>
      <c r="D59" s="13" t="s">
        <v>1021</v>
      </c>
      <c r="E59" s="13" t="s">
        <v>1024</v>
      </c>
      <c r="F59" s="13" t="s">
        <v>111</v>
      </c>
      <c r="G59" s="13" t="s">
        <v>1026</v>
      </c>
      <c r="H59" s="13" t="s">
        <v>1027</v>
      </c>
      <c r="I59" s="13" t="s">
        <v>1028</v>
      </c>
      <c r="J59" s="13" t="s">
        <v>1029</v>
      </c>
      <c r="K59" s="17" t="s">
        <v>219</v>
      </c>
      <c r="L59" s="17" t="s">
        <v>219</v>
      </c>
      <c r="M59" s="18"/>
    </row>
    <row r="60" ht="15.75" customHeight="1">
      <c r="A60" s="14">
        <v>59.0</v>
      </c>
      <c r="B60" s="13" t="s">
        <v>967</v>
      </c>
      <c r="C60" s="13" t="s">
        <v>53</v>
      </c>
      <c r="D60" s="13" t="s">
        <v>1035</v>
      </c>
      <c r="E60" s="13" t="s">
        <v>1036</v>
      </c>
      <c r="F60" s="13" t="s">
        <v>111</v>
      </c>
      <c r="G60" s="13" t="s">
        <v>1039</v>
      </c>
      <c r="H60" s="13" t="s">
        <v>1041</v>
      </c>
      <c r="I60" s="13" t="s">
        <v>1043</v>
      </c>
      <c r="J60" s="13" t="s">
        <v>1044</v>
      </c>
      <c r="K60" s="17" t="s">
        <v>219</v>
      </c>
      <c r="L60" s="17" t="s">
        <v>219</v>
      </c>
      <c r="M60" s="18"/>
    </row>
    <row r="61" ht="15.75" customHeight="1">
      <c r="A61" s="14">
        <v>60.0</v>
      </c>
      <c r="B61" s="13" t="s">
        <v>967</v>
      </c>
      <c r="C61" s="13" t="s">
        <v>53</v>
      </c>
      <c r="D61" s="13" t="s">
        <v>1047</v>
      </c>
      <c r="E61" s="13" t="s">
        <v>1048</v>
      </c>
      <c r="F61" s="13" t="s">
        <v>111</v>
      </c>
      <c r="G61" s="13" t="s">
        <v>1049</v>
      </c>
      <c r="H61" s="13" t="s">
        <v>1052</v>
      </c>
      <c r="I61" s="13" t="s">
        <v>1054</v>
      </c>
      <c r="J61" s="13" t="s">
        <v>1055</v>
      </c>
      <c r="K61" s="17" t="s">
        <v>219</v>
      </c>
      <c r="L61" s="17" t="s">
        <v>219</v>
      </c>
      <c r="M61" s="18"/>
    </row>
    <row r="62" ht="15.75" customHeight="1">
      <c r="A62" s="14">
        <v>61.0</v>
      </c>
      <c r="B62" s="13" t="s">
        <v>1058</v>
      </c>
      <c r="C62" s="13" t="s">
        <v>1060</v>
      </c>
      <c r="D62" s="13" t="s">
        <v>1062</v>
      </c>
      <c r="E62" s="13" t="s">
        <v>1064</v>
      </c>
      <c r="F62" s="13" t="s">
        <v>111</v>
      </c>
      <c r="G62" s="13" t="s">
        <v>1066</v>
      </c>
      <c r="H62" s="13" t="s">
        <v>1068</v>
      </c>
      <c r="I62" s="13" t="s">
        <v>215</v>
      </c>
      <c r="J62" s="13" t="s">
        <v>1069</v>
      </c>
      <c r="K62" s="17" t="s">
        <v>219</v>
      </c>
      <c r="L62" s="17" t="s">
        <v>219</v>
      </c>
      <c r="M62" s="18"/>
    </row>
    <row r="63" ht="15.75" customHeight="1">
      <c r="A63" s="14">
        <v>62.0</v>
      </c>
      <c r="B63" s="13" t="s">
        <v>1058</v>
      </c>
      <c r="C63" s="13" t="s">
        <v>1075</v>
      </c>
      <c r="D63" s="13" t="s">
        <v>1078</v>
      </c>
      <c r="E63" s="13" t="s">
        <v>1081</v>
      </c>
      <c r="F63" s="13" t="s">
        <v>111</v>
      </c>
      <c r="G63" s="13" t="s">
        <v>1083</v>
      </c>
      <c r="H63" s="13" t="s">
        <v>1085</v>
      </c>
      <c r="I63" s="13" t="s">
        <v>561</v>
      </c>
      <c r="J63" s="13" t="s">
        <v>1088</v>
      </c>
      <c r="K63" s="17" t="s">
        <v>219</v>
      </c>
      <c r="L63" s="17" t="s">
        <v>219</v>
      </c>
      <c r="M63" s="18"/>
    </row>
    <row r="64" ht="15.75" customHeight="1">
      <c r="A64" s="14">
        <v>63.0</v>
      </c>
      <c r="B64" s="13" t="s">
        <v>1058</v>
      </c>
      <c r="C64" s="13" t="s">
        <v>1091</v>
      </c>
      <c r="D64" s="13" t="s">
        <v>1092</v>
      </c>
      <c r="E64" s="13" t="s">
        <v>1093</v>
      </c>
      <c r="F64" s="13" t="s">
        <v>111</v>
      </c>
      <c r="G64" s="13" t="s">
        <v>1095</v>
      </c>
      <c r="H64" s="13" t="s">
        <v>1096</v>
      </c>
      <c r="I64" s="13" t="s">
        <v>1098</v>
      </c>
      <c r="J64" s="13" t="s">
        <v>1100</v>
      </c>
      <c r="K64" s="17" t="s">
        <v>125</v>
      </c>
      <c r="L64" s="17" t="s">
        <v>131</v>
      </c>
      <c r="M64" s="18"/>
    </row>
    <row r="65" ht="15.75" customHeight="1">
      <c r="A65" s="14">
        <v>64.0</v>
      </c>
      <c r="B65" s="13" t="s">
        <v>1058</v>
      </c>
      <c r="C65" s="13" t="s">
        <v>1106</v>
      </c>
      <c r="D65" s="13" t="s">
        <v>1107</v>
      </c>
      <c r="E65" s="13" t="s">
        <v>1108</v>
      </c>
      <c r="F65" s="13" t="s">
        <v>111</v>
      </c>
      <c r="G65" s="13" t="s">
        <v>1109</v>
      </c>
      <c r="H65" s="13" t="s">
        <v>1110</v>
      </c>
      <c r="I65" s="13" t="s">
        <v>1112</v>
      </c>
      <c r="J65" s="13" t="s">
        <v>1114</v>
      </c>
      <c r="K65" s="17" t="s">
        <v>131</v>
      </c>
      <c r="L65" s="17" t="s">
        <v>131</v>
      </c>
      <c r="M65" s="18"/>
    </row>
    <row r="66" ht="15.75" customHeight="1">
      <c r="A66" s="14">
        <v>65.0</v>
      </c>
      <c r="B66" s="13" t="s">
        <v>1058</v>
      </c>
      <c r="C66" s="13" t="s">
        <v>1119</v>
      </c>
      <c r="D66" s="13" t="s">
        <v>1120</v>
      </c>
      <c r="E66" s="13" t="s">
        <v>1122</v>
      </c>
      <c r="F66" s="13" t="s">
        <v>111</v>
      </c>
      <c r="G66" s="13" t="s">
        <v>1126</v>
      </c>
      <c r="H66" s="13" t="s">
        <v>1127</v>
      </c>
      <c r="I66" s="13" t="s">
        <v>215</v>
      </c>
      <c r="J66" s="13" t="s">
        <v>1128</v>
      </c>
      <c r="K66" s="17" t="s">
        <v>131</v>
      </c>
      <c r="L66" s="17" t="s">
        <v>131</v>
      </c>
      <c r="M66" s="18"/>
    </row>
    <row r="67" ht="15.75" customHeight="1">
      <c r="A67" s="14">
        <v>66.0</v>
      </c>
      <c r="B67" s="13" t="s">
        <v>1058</v>
      </c>
      <c r="C67" s="13" t="s">
        <v>1091</v>
      </c>
      <c r="D67" s="13" t="s">
        <v>1134</v>
      </c>
      <c r="E67" s="13" t="s">
        <v>1135</v>
      </c>
      <c r="F67" s="13" t="s">
        <v>111</v>
      </c>
      <c r="G67" s="13" t="s">
        <v>1137</v>
      </c>
      <c r="H67" s="13" t="s">
        <v>1138</v>
      </c>
      <c r="I67" s="13" t="s">
        <v>1140</v>
      </c>
      <c r="J67" s="13" t="s">
        <v>1141</v>
      </c>
      <c r="K67" s="17" t="s">
        <v>125</v>
      </c>
      <c r="L67" s="17" t="s">
        <v>131</v>
      </c>
      <c r="M67" s="18"/>
    </row>
    <row r="68" ht="15.75" customHeight="1">
      <c r="A68" s="14">
        <v>67.0</v>
      </c>
      <c r="B68" s="13" t="s">
        <v>1058</v>
      </c>
      <c r="C68" s="13" t="s">
        <v>1091</v>
      </c>
      <c r="D68" s="13" t="s">
        <v>1146</v>
      </c>
      <c r="E68" s="13" t="s">
        <v>1147</v>
      </c>
      <c r="F68" s="13" t="s">
        <v>111</v>
      </c>
      <c r="G68" s="13" t="s">
        <v>1148</v>
      </c>
      <c r="H68" s="13" t="s">
        <v>1149</v>
      </c>
      <c r="I68" s="13" t="s">
        <v>1150</v>
      </c>
      <c r="J68" s="13" t="s">
        <v>1152</v>
      </c>
      <c r="K68" s="17" t="s">
        <v>125</v>
      </c>
      <c r="L68" s="17" t="s">
        <v>131</v>
      </c>
      <c r="M68" s="18"/>
    </row>
    <row r="69" ht="15.75" customHeight="1">
      <c r="A69" s="14">
        <v>68.0</v>
      </c>
      <c r="B69" s="13" t="s">
        <v>1058</v>
      </c>
      <c r="C69" s="13" t="s">
        <v>1156</v>
      </c>
      <c r="D69" s="13" t="s">
        <v>1157</v>
      </c>
      <c r="E69" s="13" t="s">
        <v>1158</v>
      </c>
      <c r="F69" s="13" t="s">
        <v>111</v>
      </c>
      <c r="G69" s="13" t="s">
        <v>1163</v>
      </c>
      <c r="H69" s="13" t="s">
        <v>1165</v>
      </c>
      <c r="I69" s="13" t="s">
        <v>561</v>
      </c>
      <c r="J69" s="13" t="s">
        <v>1088</v>
      </c>
      <c r="K69" s="17" t="s">
        <v>219</v>
      </c>
      <c r="L69" s="17" t="s">
        <v>219</v>
      </c>
      <c r="M69" s="18"/>
    </row>
    <row r="70" ht="15.75" customHeight="1">
      <c r="A70" s="14">
        <v>69.0</v>
      </c>
      <c r="B70" s="13" t="s">
        <v>1058</v>
      </c>
      <c r="C70" s="13" t="s">
        <v>1156</v>
      </c>
      <c r="D70" s="13" t="s">
        <v>1169</v>
      </c>
      <c r="E70" s="13" t="s">
        <v>1170</v>
      </c>
      <c r="F70" s="13" t="s">
        <v>111</v>
      </c>
      <c r="G70" s="13" t="s">
        <v>1172</v>
      </c>
      <c r="H70" s="13" t="s">
        <v>1173</v>
      </c>
      <c r="I70" s="13" t="s">
        <v>215</v>
      </c>
      <c r="J70" s="13" t="s">
        <v>1174</v>
      </c>
      <c r="K70" s="17" t="s">
        <v>219</v>
      </c>
      <c r="L70" s="17" t="s">
        <v>219</v>
      </c>
      <c r="M70" s="18"/>
    </row>
    <row r="71" ht="15.75" customHeight="1">
      <c r="A71" s="14">
        <v>70.0</v>
      </c>
      <c r="B71" s="13" t="s">
        <v>1058</v>
      </c>
      <c r="C71" s="13" t="s">
        <v>1156</v>
      </c>
      <c r="D71" s="13" t="s">
        <v>1177</v>
      </c>
      <c r="E71" s="13" t="s">
        <v>1178</v>
      </c>
      <c r="F71" s="13" t="s">
        <v>111</v>
      </c>
      <c r="G71" s="13" t="s">
        <v>1179</v>
      </c>
      <c r="H71" s="13" t="s">
        <v>1180</v>
      </c>
      <c r="I71" s="13" t="s">
        <v>1181</v>
      </c>
      <c r="J71" s="13" t="s">
        <v>1183</v>
      </c>
      <c r="K71" s="17" t="s">
        <v>219</v>
      </c>
      <c r="L71" s="17" t="s">
        <v>219</v>
      </c>
      <c r="M71" s="18"/>
    </row>
    <row r="72" ht="15.75" customHeight="1">
      <c r="A72" s="14">
        <v>71.0</v>
      </c>
      <c r="B72" s="13" t="s">
        <v>1058</v>
      </c>
      <c r="C72" s="13" t="s">
        <v>1156</v>
      </c>
      <c r="D72" s="13" t="s">
        <v>1185</v>
      </c>
      <c r="E72" s="13" t="s">
        <v>1186</v>
      </c>
      <c r="F72" s="13" t="s">
        <v>111</v>
      </c>
      <c r="G72" s="13" t="s">
        <v>1187</v>
      </c>
      <c r="H72" s="13" t="s">
        <v>1189</v>
      </c>
      <c r="I72" s="13" t="s">
        <v>1181</v>
      </c>
      <c r="J72" s="13" t="s">
        <v>1191</v>
      </c>
      <c r="K72" s="17" t="s">
        <v>219</v>
      </c>
      <c r="L72" s="17" t="s">
        <v>219</v>
      </c>
      <c r="M72" s="18"/>
    </row>
    <row r="73" ht="15.75" customHeight="1">
      <c r="A73" s="14">
        <v>72.0</v>
      </c>
      <c r="B73" s="13" t="s">
        <v>1058</v>
      </c>
      <c r="C73" s="13" t="s">
        <v>1156</v>
      </c>
      <c r="D73" s="13" t="s">
        <v>1194</v>
      </c>
      <c r="E73" s="13" t="s">
        <v>1195</v>
      </c>
      <c r="F73" s="13" t="s">
        <v>111</v>
      </c>
      <c r="G73" s="13" t="s">
        <v>1196</v>
      </c>
      <c r="H73" s="13" t="s">
        <v>1197</v>
      </c>
      <c r="I73" s="13" t="s">
        <v>1198</v>
      </c>
      <c r="J73" s="13" t="s">
        <v>1200</v>
      </c>
      <c r="K73" s="17" t="s">
        <v>219</v>
      </c>
      <c r="L73" s="17" t="s">
        <v>219</v>
      </c>
      <c r="M73" s="18"/>
    </row>
    <row r="74" ht="15.75" customHeight="1">
      <c r="A74" s="14">
        <v>73.0</v>
      </c>
      <c r="B74" s="13" t="s">
        <v>1058</v>
      </c>
      <c r="C74" s="13" t="s">
        <v>1207</v>
      </c>
      <c r="D74" s="13" t="s">
        <v>1208</v>
      </c>
      <c r="E74" s="13" t="s">
        <v>1209</v>
      </c>
      <c r="F74" s="13" t="s">
        <v>111</v>
      </c>
      <c r="G74" s="13" t="s">
        <v>1210</v>
      </c>
      <c r="H74" s="13" t="s">
        <v>1211</v>
      </c>
      <c r="I74" s="13" t="s">
        <v>1212</v>
      </c>
      <c r="J74" s="13" t="s">
        <v>1213</v>
      </c>
      <c r="K74" s="17" t="s">
        <v>219</v>
      </c>
      <c r="L74" s="17" t="s">
        <v>219</v>
      </c>
      <c r="M74" s="18"/>
    </row>
    <row r="75" ht="15.75" customHeight="1">
      <c r="A75" s="14">
        <v>74.0</v>
      </c>
      <c r="B75" s="13" t="s">
        <v>1215</v>
      </c>
      <c r="C75" s="13" t="s">
        <v>63</v>
      </c>
      <c r="D75" s="13" t="s">
        <v>1218</v>
      </c>
      <c r="E75" s="13" t="s">
        <v>1220</v>
      </c>
      <c r="F75" s="13" t="s">
        <v>111</v>
      </c>
      <c r="G75" s="13" t="s">
        <v>1222</v>
      </c>
      <c r="H75" s="13" t="s">
        <v>1224</v>
      </c>
      <c r="I75" s="13" t="s">
        <v>215</v>
      </c>
      <c r="J75" s="13" t="s">
        <v>1226</v>
      </c>
      <c r="K75" s="17" t="s">
        <v>219</v>
      </c>
      <c r="L75" s="17" t="s">
        <v>219</v>
      </c>
      <c r="M75" s="18"/>
    </row>
    <row r="76" ht="15.75" customHeight="1">
      <c r="A76" s="14">
        <v>75.0</v>
      </c>
      <c r="B76" s="13" t="s">
        <v>1215</v>
      </c>
      <c r="C76" s="13" t="s">
        <v>1227</v>
      </c>
      <c r="D76" s="13" t="s">
        <v>1228</v>
      </c>
      <c r="E76" s="13" t="s">
        <v>1229</v>
      </c>
      <c r="F76" s="13" t="s">
        <v>111</v>
      </c>
      <c r="G76" s="13" t="s">
        <v>1233</v>
      </c>
      <c r="H76" s="13" t="s">
        <v>1235</v>
      </c>
      <c r="I76" s="13" t="s">
        <v>215</v>
      </c>
      <c r="J76" s="13" t="s">
        <v>1240</v>
      </c>
      <c r="K76" s="17" t="s">
        <v>125</v>
      </c>
      <c r="L76" s="17" t="s">
        <v>131</v>
      </c>
      <c r="M76" s="18"/>
    </row>
    <row r="77" ht="15.75" customHeight="1">
      <c r="A77" s="14">
        <v>76.0</v>
      </c>
      <c r="B77" s="13" t="s">
        <v>1242</v>
      </c>
      <c r="C77" s="13" t="s">
        <v>1243</v>
      </c>
      <c r="D77" s="13" t="s">
        <v>1244</v>
      </c>
      <c r="E77" s="13" t="s">
        <v>1246</v>
      </c>
      <c r="F77" s="13" t="s">
        <v>111</v>
      </c>
      <c r="G77" s="13" t="s">
        <v>1249</v>
      </c>
      <c r="H77" s="13" t="s">
        <v>1251</v>
      </c>
      <c r="I77" s="13" t="s">
        <v>1253</v>
      </c>
      <c r="J77" s="13" t="s">
        <v>1255</v>
      </c>
      <c r="K77" s="17" t="s">
        <v>219</v>
      </c>
      <c r="L77" s="17" t="s">
        <v>219</v>
      </c>
      <c r="M77" s="18"/>
    </row>
    <row r="78" ht="15.75" customHeight="1">
      <c r="A78" s="14">
        <v>77.0</v>
      </c>
      <c r="B78" s="13" t="s">
        <v>1242</v>
      </c>
      <c r="C78" s="13" t="s">
        <v>1243</v>
      </c>
      <c r="D78" s="13" t="s">
        <v>1259</v>
      </c>
      <c r="E78" s="13" t="s">
        <v>1260</v>
      </c>
      <c r="F78" s="13" t="s">
        <v>111</v>
      </c>
      <c r="G78" s="13" t="s">
        <v>1263</v>
      </c>
      <c r="H78" s="13" t="s">
        <v>1264</v>
      </c>
      <c r="I78" s="13" t="s">
        <v>215</v>
      </c>
      <c r="J78" s="13" t="s">
        <v>1267</v>
      </c>
      <c r="K78" s="17" t="s">
        <v>219</v>
      </c>
      <c r="L78" s="17" t="s">
        <v>219</v>
      </c>
      <c r="M78" s="18"/>
    </row>
    <row r="79" ht="15.75" customHeight="1">
      <c r="A79" s="14">
        <v>78.0</v>
      </c>
      <c r="B79" s="13" t="s">
        <v>1242</v>
      </c>
      <c r="C79" s="13" t="s">
        <v>1243</v>
      </c>
      <c r="D79" s="13" t="s">
        <v>1274</v>
      </c>
      <c r="E79" s="13" t="s">
        <v>1276</v>
      </c>
      <c r="F79" s="13" t="s">
        <v>111</v>
      </c>
      <c r="G79" s="13" t="s">
        <v>1278</v>
      </c>
      <c r="H79" s="13" t="s">
        <v>1280</v>
      </c>
      <c r="I79" s="13" t="s">
        <v>1281</v>
      </c>
      <c r="J79" s="13" t="s">
        <v>1284</v>
      </c>
      <c r="K79" s="17" t="s">
        <v>219</v>
      </c>
      <c r="L79" s="17" t="s">
        <v>219</v>
      </c>
      <c r="M79" s="18"/>
    </row>
    <row r="80" ht="15.75" customHeight="1">
      <c r="A80" s="14">
        <v>79.0</v>
      </c>
      <c r="B80" s="13" t="s">
        <v>1242</v>
      </c>
      <c r="C80" s="13" t="s">
        <v>1243</v>
      </c>
      <c r="D80" s="13" t="s">
        <v>1285</v>
      </c>
      <c r="E80" s="13" t="s">
        <v>1287</v>
      </c>
      <c r="F80" s="13" t="s">
        <v>111</v>
      </c>
      <c r="G80" s="13" t="s">
        <v>1291</v>
      </c>
      <c r="H80" s="13" t="s">
        <v>1293</v>
      </c>
      <c r="I80" s="13" t="s">
        <v>1295</v>
      </c>
      <c r="J80" s="13" t="s">
        <v>1297</v>
      </c>
      <c r="K80" s="17" t="s">
        <v>219</v>
      </c>
      <c r="L80" s="17" t="s">
        <v>219</v>
      </c>
      <c r="M80" s="18"/>
    </row>
    <row r="81" ht="15.75" customHeight="1">
      <c r="A81" s="14">
        <v>80.0</v>
      </c>
      <c r="B81" s="13" t="s">
        <v>1242</v>
      </c>
      <c r="C81" s="13" t="s">
        <v>1243</v>
      </c>
      <c r="D81" s="13" t="s">
        <v>1300</v>
      </c>
      <c r="E81" s="13" t="s">
        <v>1301</v>
      </c>
      <c r="F81" s="13" t="s">
        <v>111</v>
      </c>
      <c r="G81" s="13" t="s">
        <v>1305</v>
      </c>
      <c r="H81" s="13" t="s">
        <v>1307</v>
      </c>
      <c r="I81" s="13" t="s">
        <v>1309</v>
      </c>
      <c r="J81" s="13" t="s">
        <v>1310</v>
      </c>
      <c r="K81" s="17" t="s">
        <v>219</v>
      </c>
      <c r="L81" s="17" t="s">
        <v>219</v>
      </c>
      <c r="M81" s="18"/>
    </row>
    <row r="82" ht="15.75" customHeight="1">
      <c r="A82" s="14">
        <v>81.0</v>
      </c>
      <c r="B82" s="13" t="s">
        <v>1242</v>
      </c>
      <c r="C82" s="13" t="s">
        <v>1314</v>
      </c>
      <c r="D82" s="13" t="s">
        <v>1316</v>
      </c>
      <c r="E82" s="13" t="s">
        <v>1318</v>
      </c>
      <c r="F82" s="13" t="s">
        <v>111</v>
      </c>
      <c r="G82" s="13" t="s">
        <v>1321</v>
      </c>
      <c r="H82" s="13" t="s">
        <v>1323</v>
      </c>
      <c r="I82" s="13" t="s">
        <v>1326</v>
      </c>
      <c r="J82" s="13" t="s">
        <v>1327</v>
      </c>
      <c r="K82" s="17" t="s">
        <v>219</v>
      </c>
      <c r="L82" s="17" t="s">
        <v>219</v>
      </c>
      <c r="M82" s="18"/>
    </row>
    <row r="83" ht="15.75" customHeight="1">
      <c r="A83" s="14">
        <v>82.0</v>
      </c>
      <c r="B83" s="13" t="s">
        <v>1328</v>
      </c>
      <c r="C83" s="13" t="s">
        <v>1330</v>
      </c>
      <c r="D83" s="13" t="s">
        <v>1331</v>
      </c>
      <c r="E83" s="13" t="s">
        <v>1333</v>
      </c>
      <c r="F83" s="13" t="s">
        <v>111</v>
      </c>
      <c r="G83" s="13" t="s">
        <v>1338</v>
      </c>
      <c r="H83" s="13" t="s">
        <v>1340</v>
      </c>
      <c r="I83" s="13" t="s">
        <v>215</v>
      </c>
      <c r="J83" s="13" t="s">
        <v>1343</v>
      </c>
      <c r="K83" s="17" t="s">
        <v>131</v>
      </c>
      <c r="L83" s="17" t="s">
        <v>131</v>
      </c>
      <c r="M83" s="18"/>
    </row>
    <row r="84" ht="15.75" customHeight="1">
      <c r="A84" s="14">
        <v>83.0</v>
      </c>
      <c r="B84" s="13" t="s">
        <v>1328</v>
      </c>
      <c r="C84" s="13" t="s">
        <v>1330</v>
      </c>
      <c r="D84" s="13" t="s">
        <v>1345</v>
      </c>
      <c r="E84" s="13" t="s">
        <v>1346</v>
      </c>
      <c r="F84" s="13" t="s">
        <v>111</v>
      </c>
      <c r="G84" s="13" t="s">
        <v>1347</v>
      </c>
      <c r="H84" s="13" t="s">
        <v>1348</v>
      </c>
      <c r="I84" s="13" t="s">
        <v>1349</v>
      </c>
      <c r="J84" s="13" t="s">
        <v>1352</v>
      </c>
      <c r="K84" s="17" t="s">
        <v>131</v>
      </c>
      <c r="L84" s="17" t="s">
        <v>131</v>
      </c>
      <c r="M84" s="18"/>
    </row>
    <row r="85" ht="15.75" customHeight="1">
      <c r="A85" s="14">
        <v>84.0</v>
      </c>
      <c r="B85" s="13" t="s">
        <v>1328</v>
      </c>
      <c r="C85" s="13" t="s">
        <v>1359</v>
      </c>
      <c r="D85" s="13" t="s">
        <v>1360</v>
      </c>
      <c r="E85" s="13" t="s">
        <v>1361</v>
      </c>
      <c r="F85" s="13" t="s">
        <v>111</v>
      </c>
      <c r="G85" s="13" t="s">
        <v>1362</v>
      </c>
      <c r="H85" s="13" t="s">
        <v>1363</v>
      </c>
      <c r="I85" s="13" t="s">
        <v>1364</v>
      </c>
      <c r="J85" s="13" t="s">
        <v>1365</v>
      </c>
      <c r="K85" s="17" t="s">
        <v>125</v>
      </c>
      <c r="L85" s="17" t="s">
        <v>131</v>
      </c>
      <c r="M85" s="18"/>
    </row>
    <row r="86" ht="15.75" customHeight="1">
      <c r="A86" s="14">
        <v>85.0</v>
      </c>
      <c r="B86" s="13" t="s">
        <v>1328</v>
      </c>
      <c r="C86" s="13" t="s">
        <v>1366</v>
      </c>
      <c r="D86" s="13" t="s">
        <v>1368</v>
      </c>
      <c r="E86" s="13" t="s">
        <v>1370</v>
      </c>
      <c r="F86" s="13" t="s">
        <v>111</v>
      </c>
      <c r="G86" s="13" t="s">
        <v>1373</v>
      </c>
      <c r="H86" s="13" t="s">
        <v>1375</v>
      </c>
      <c r="I86" s="13" t="s">
        <v>1377</v>
      </c>
      <c r="J86" s="13" t="s">
        <v>1378</v>
      </c>
      <c r="K86" s="17" t="s">
        <v>131</v>
      </c>
      <c r="L86" s="17" t="s">
        <v>131</v>
      </c>
      <c r="M86" s="18"/>
    </row>
    <row r="87" ht="15.75" customHeight="1">
      <c r="A87" s="14">
        <v>86.0</v>
      </c>
      <c r="B87" s="13" t="s">
        <v>1328</v>
      </c>
      <c r="C87" s="13" t="s">
        <v>1387</v>
      </c>
      <c r="D87" s="13" t="s">
        <v>1388</v>
      </c>
      <c r="E87" s="13" t="s">
        <v>1389</v>
      </c>
      <c r="F87" s="13" t="s">
        <v>111</v>
      </c>
      <c r="G87" s="13" t="s">
        <v>1390</v>
      </c>
      <c r="H87" s="13" t="s">
        <v>1391</v>
      </c>
      <c r="I87" s="13" t="s">
        <v>215</v>
      </c>
      <c r="J87" s="13" t="s">
        <v>1392</v>
      </c>
      <c r="K87" s="17" t="s">
        <v>131</v>
      </c>
      <c r="L87" s="17" t="s">
        <v>131</v>
      </c>
      <c r="M87" s="18"/>
    </row>
    <row r="88" ht="15.75" customHeight="1">
      <c r="A88" s="14">
        <v>87.0</v>
      </c>
      <c r="B88" s="13" t="s">
        <v>1328</v>
      </c>
      <c r="C88" s="13" t="s">
        <v>1387</v>
      </c>
      <c r="D88" s="13" t="s">
        <v>1401</v>
      </c>
      <c r="E88" s="13" t="s">
        <v>1402</v>
      </c>
      <c r="F88" s="13" t="s">
        <v>111</v>
      </c>
      <c r="G88" s="13" t="s">
        <v>1403</v>
      </c>
      <c r="H88" s="13" t="s">
        <v>1404</v>
      </c>
      <c r="I88" s="13" t="s">
        <v>215</v>
      </c>
      <c r="J88" s="13" t="s">
        <v>1405</v>
      </c>
      <c r="K88" s="17" t="s">
        <v>131</v>
      </c>
      <c r="L88" s="17" t="s">
        <v>131</v>
      </c>
      <c r="M88" s="18"/>
    </row>
    <row r="89" ht="15.75" customHeight="1">
      <c r="A89" s="14">
        <v>88.0</v>
      </c>
      <c r="B89" s="13" t="s">
        <v>1410</v>
      </c>
      <c r="C89" s="13" t="s">
        <v>1129</v>
      </c>
      <c r="D89" s="13" t="s">
        <v>1414</v>
      </c>
      <c r="E89" s="13" t="s">
        <v>1416</v>
      </c>
      <c r="F89" s="13" t="s">
        <v>111</v>
      </c>
      <c r="G89" s="13" t="s">
        <v>1418</v>
      </c>
      <c r="H89" s="13" t="s">
        <v>1419</v>
      </c>
      <c r="I89" s="13" t="s">
        <v>1420</v>
      </c>
      <c r="J89" s="13" t="s">
        <v>1421</v>
      </c>
      <c r="K89" s="17" t="s">
        <v>131</v>
      </c>
      <c r="L89" s="17" t="s">
        <v>131</v>
      </c>
      <c r="M89" s="18"/>
    </row>
    <row r="90" ht="15.75" customHeight="1">
      <c r="A90" s="14">
        <v>89.0</v>
      </c>
      <c r="B90" s="13" t="s">
        <v>1410</v>
      </c>
      <c r="C90" s="13" t="s">
        <v>1129</v>
      </c>
      <c r="D90" s="13" t="s">
        <v>1425</v>
      </c>
      <c r="E90" s="13" t="s">
        <v>1428</v>
      </c>
      <c r="F90" s="13" t="s">
        <v>111</v>
      </c>
      <c r="G90" s="13" t="s">
        <v>1432</v>
      </c>
      <c r="H90" s="13" t="s">
        <v>1434</v>
      </c>
      <c r="I90" s="13" t="s">
        <v>215</v>
      </c>
      <c r="J90" s="13" t="s">
        <v>1435</v>
      </c>
      <c r="K90" s="17" t="s">
        <v>131</v>
      </c>
      <c r="L90" s="17" t="s">
        <v>131</v>
      </c>
      <c r="M90" s="18"/>
    </row>
    <row r="91" ht="15.75" customHeight="1">
      <c r="A91" s="14">
        <v>90.0</v>
      </c>
      <c r="B91" s="13" t="s">
        <v>1410</v>
      </c>
      <c r="C91" s="13" t="s">
        <v>1129</v>
      </c>
      <c r="D91" s="13" t="s">
        <v>1436</v>
      </c>
      <c r="E91" s="13" t="s">
        <v>1437</v>
      </c>
      <c r="F91" s="13" t="s">
        <v>111</v>
      </c>
      <c r="G91" s="13" t="s">
        <v>1438</v>
      </c>
      <c r="H91" s="13" t="s">
        <v>1439</v>
      </c>
      <c r="I91" s="13" t="s">
        <v>1441</v>
      </c>
      <c r="J91" s="13" t="s">
        <v>1442</v>
      </c>
      <c r="K91" s="17" t="s">
        <v>131</v>
      </c>
      <c r="L91" s="17" t="s">
        <v>131</v>
      </c>
      <c r="M91" s="18"/>
    </row>
    <row r="92" ht="15.75" customHeight="1">
      <c r="A92" s="14">
        <v>91.0</v>
      </c>
      <c r="B92" s="13" t="s">
        <v>1410</v>
      </c>
      <c r="C92" s="13" t="s">
        <v>1450</v>
      </c>
      <c r="D92" s="13" t="s">
        <v>1451</v>
      </c>
      <c r="E92" s="13" t="s">
        <v>1452</v>
      </c>
      <c r="F92" s="13" t="s">
        <v>111</v>
      </c>
      <c r="G92" s="13" t="s">
        <v>1453</v>
      </c>
      <c r="H92" s="13" t="s">
        <v>1454</v>
      </c>
      <c r="I92" s="13" t="s">
        <v>1455</v>
      </c>
      <c r="J92" s="13" t="s">
        <v>1456</v>
      </c>
      <c r="K92" s="17" t="s">
        <v>131</v>
      </c>
      <c r="L92" s="17" t="s">
        <v>131</v>
      </c>
      <c r="M92" s="18"/>
    </row>
    <row r="93" ht="15.75" customHeight="1">
      <c r="A93" s="14">
        <v>92.0</v>
      </c>
      <c r="B93" s="13" t="s">
        <v>1410</v>
      </c>
      <c r="C93" s="13" t="s">
        <v>1461</v>
      </c>
      <c r="D93" s="13" t="s">
        <v>1462</v>
      </c>
      <c r="E93" s="13" t="s">
        <v>1464</v>
      </c>
      <c r="F93" s="13" t="s">
        <v>111</v>
      </c>
      <c r="G93" s="13" t="s">
        <v>1467</v>
      </c>
      <c r="H93" s="13" t="s">
        <v>1468</v>
      </c>
      <c r="I93" s="13" t="s">
        <v>1469</v>
      </c>
      <c r="J93" s="13" t="s">
        <v>1470</v>
      </c>
      <c r="K93" s="17" t="s">
        <v>131</v>
      </c>
      <c r="L93" s="17" t="s">
        <v>131</v>
      </c>
      <c r="M93" s="18"/>
    </row>
    <row r="94" ht="15.75" customHeight="1">
      <c r="A94" s="14">
        <v>93.0</v>
      </c>
      <c r="B94" s="13" t="s">
        <v>1410</v>
      </c>
      <c r="C94" s="13" t="s">
        <v>1461</v>
      </c>
      <c r="D94" s="13" t="s">
        <v>1475</v>
      </c>
      <c r="E94" s="13" t="s">
        <v>1477</v>
      </c>
      <c r="F94" s="13" t="s">
        <v>111</v>
      </c>
      <c r="G94" s="13" t="s">
        <v>1478</v>
      </c>
      <c r="H94" s="13" t="s">
        <v>1480</v>
      </c>
      <c r="I94" s="13" t="s">
        <v>1481</v>
      </c>
      <c r="J94" s="13" t="s">
        <v>1482</v>
      </c>
      <c r="K94" s="17" t="s">
        <v>131</v>
      </c>
      <c r="L94" s="17" t="s">
        <v>131</v>
      </c>
      <c r="M94" s="18"/>
    </row>
    <row r="95" ht="15.75" customHeight="1">
      <c r="A95" s="14">
        <v>94.0</v>
      </c>
      <c r="B95" s="13" t="s">
        <v>1410</v>
      </c>
      <c r="C95" s="13" t="s">
        <v>1461</v>
      </c>
      <c r="D95" s="13" t="s">
        <v>1489</v>
      </c>
      <c r="E95" s="13" t="s">
        <v>1492</v>
      </c>
      <c r="F95" s="13" t="s">
        <v>111</v>
      </c>
      <c r="G95" s="13" t="s">
        <v>1493</v>
      </c>
      <c r="H95" s="13" t="s">
        <v>1494</v>
      </c>
      <c r="I95" s="13" t="s">
        <v>1495</v>
      </c>
      <c r="J95" s="13" t="s">
        <v>1496</v>
      </c>
      <c r="K95" s="17" t="s">
        <v>131</v>
      </c>
      <c r="L95" s="17" t="s">
        <v>131</v>
      </c>
      <c r="M95" s="18"/>
    </row>
    <row r="96" ht="15.75" customHeight="1">
      <c r="A96" s="14">
        <v>95.0</v>
      </c>
      <c r="B96" s="13" t="s">
        <v>1500</v>
      </c>
      <c r="C96" s="13" t="s">
        <v>1502</v>
      </c>
      <c r="D96" s="13" t="s">
        <v>1505</v>
      </c>
      <c r="E96" s="13" t="s">
        <v>1507</v>
      </c>
      <c r="F96" s="13" t="s">
        <v>111</v>
      </c>
      <c r="G96" s="13" t="s">
        <v>1508</v>
      </c>
      <c r="H96" s="13" t="s">
        <v>1509</v>
      </c>
      <c r="I96" s="13" t="s">
        <v>215</v>
      </c>
      <c r="J96" s="13" t="s">
        <v>1510</v>
      </c>
      <c r="K96" s="58" t="s">
        <v>131</v>
      </c>
      <c r="L96" s="59" t="s">
        <v>131</v>
      </c>
    </row>
    <row r="97" ht="15.75" customHeight="1">
      <c r="A97" s="14">
        <v>96.0</v>
      </c>
      <c r="B97" s="13" t="s">
        <v>1500</v>
      </c>
      <c r="C97" s="13" t="s">
        <v>1502</v>
      </c>
      <c r="D97" s="13" t="s">
        <v>1525</v>
      </c>
      <c r="E97" s="13" t="s">
        <v>1526</v>
      </c>
      <c r="F97" s="13" t="s">
        <v>111</v>
      </c>
      <c r="G97" s="13" t="s">
        <v>1528</v>
      </c>
      <c r="H97" s="13" t="s">
        <v>1530</v>
      </c>
      <c r="I97" s="13" t="s">
        <v>1532</v>
      </c>
      <c r="J97" s="13" t="s">
        <v>1533</v>
      </c>
      <c r="K97" s="58" t="s">
        <v>131</v>
      </c>
      <c r="L97" s="59" t="s">
        <v>131</v>
      </c>
    </row>
    <row r="98" ht="15.75" customHeight="1">
      <c r="A98" s="14">
        <v>97.0</v>
      </c>
      <c r="B98" s="13" t="s">
        <v>1500</v>
      </c>
      <c r="C98" s="13" t="s">
        <v>1541</v>
      </c>
      <c r="D98" s="13" t="s">
        <v>1543</v>
      </c>
      <c r="E98" s="13" t="s">
        <v>1545</v>
      </c>
      <c r="F98" s="13" t="s">
        <v>111</v>
      </c>
      <c r="G98" s="13" t="s">
        <v>1548</v>
      </c>
      <c r="H98" s="13" t="s">
        <v>1549</v>
      </c>
      <c r="I98" s="13" t="s">
        <v>1550</v>
      </c>
      <c r="J98" s="13" t="s">
        <v>1554</v>
      </c>
      <c r="K98" s="58" t="s">
        <v>131</v>
      </c>
      <c r="L98" s="59" t="s">
        <v>131</v>
      </c>
    </row>
    <row r="99" ht="15.75" customHeight="1">
      <c r="A99" s="14">
        <v>98.0</v>
      </c>
      <c r="B99" s="13" t="s">
        <v>1500</v>
      </c>
      <c r="C99" s="13" t="s">
        <v>1541</v>
      </c>
      <c r="D99" s="13" t="s">
        <v>1555</v>
      </c>
      <c r="E99" s="13" t="s">
        <v>1556</v>
      </c>
      <c r="F99" s="13" t="s">
        <v>111</v>
      </c>
      <c r="G99" s="13" t="s">
        <v>1557</v>
      </c>
      <c r="H99" s="13" t="s">
        <v>1559</v>
      </c>
      <c r="I99" s="13" t="s">
        <v>215</v>
      </c>
      <c r="J99" s="13" t="s">
        <v>1561</v>
      </c>
      <c r="K99" s="58" t="s">
        <v>131</v>
      </c>
      <c r="L99" s="59" t="s">
        <v>131</v>
      </c>
    </row>
    <row r="100" ht="15.75" customHeight="1">
      <c r="A100" s="14">
        <v>99.0</v>
      </c>
      <c r="B100" s="13" t="s">
        <v>1566</v>
      </c>
      <c r="C100" s="13" t="s">
        <v>1567</v>
      </c>
      <c r="D100" s="13" t="s">
        <v>1568</v>
      </c>
      <c r="E100" s="13" t="s">
        <v>1569</v>
      </c>
      <c r="F100" s="13" t="s">
        <v>111</v>
      </c>
      <c r="G100" s="13" t="s">
        <v>1572</v>
      </c>
      <c r="H100" s="13" t="s">
        <v>1573</v>
      </c>
      <c r="I100" s="13" t="s">
        <v>215</v>
      </c>
      <c r="J100" s="13" t="s">
        <v>1574</v>
      </c>
      <c r="K100" s="58" t="s">
        <v>131</v>
      </c>
      <c r="L100" s="59" t="s">
        <v>131</v>
      </c>
    </row>
    <row r="101" ht="15.75" customHeight="1">
      <c r="A101" s="14">
        <v>100.0</v>
      </c>
      <c r="B101" s="13" t="s">
        <v>1566</v>
      </c>
      <c r="C101" s="13" t="s">
        <v>1567</v>
      </c>
      <c r="D101" s="13" t="s">
        <v>1575</v>
      </c>
      <c r="E101" s="13" t="s">
        <v>1576</v>
      </c>
      <c r="F101" s="13" t="s">
        <v>111</v>
      </c>
      <c r="G101" s="13" t="s">
        <v>1579</v>
      </c>
      <c r="H101" s="13" t="s">
        <v>1580</v>
      </c>
      <c r="I101" s="13" t="s">
        <v>1581</v>
      </c>
      <c r="J101" s="13" t="s">
        <v>1582</v>
      </c>
      <c r="K101" s="58" t="s">
        <v>131</v>
      </c>
      <c r="L101" s="59" t="s">
        <v>131</v>
      </c>
    </row>
    <row r="102" ht="15.75" customHeight="1">
      <c r="A102" s="14">
        <v>101.0</v>
      </c>
      <c r="B102" s="13" t="s">
        <v>1586</v>
      </c>
      <c r="C102" s="13" t="s">
        <v>1587</v>
      </c>
      <c r="D102" s="13" t="s">
        <v>1588</v>
      </c>
      <c r="E102" s="13" t="s">
        <v>1589</v>
      </c>
      <c r="F102" s="13" t="s">
        <v>111</v>
      </c>
      <c r="G102" s="13" t="s">
        <v>1590</v>
      </c>
      <c r="H102" s="13" t="s">
        <v>1591</v>
      </c>
      <c r="I102" s="13" t="s">
        <v>1592</v>
      </c>
      <c r="J102" s="13" t="s">
        <v>1593</v>
      </c>
      <c r="K102" s="58" t="s">
        <v>131</v>
      </c>
      <c r="L102" s="59" t="s">
        <v>131</v>
      </c>
    </row>
    <row r="103" ht="15.75" customHeight="1">
      <c r="A103" s="14">
        <v>102.0</v>
      </c>
      <c r="B103" s="13" t="s">
        <v>1586</v>
      </c>
      <c r="C103" s="13" t="s">
        <v>1587</v>
      </c>
      <c r="D103" s="13" t="s">
        <v>1596</v>
      </c>
      <c r="E103" s="13" t="s">
        <v>1599</v>
      </c>
      <c r="F103" s="13" t="s">
        <v>111</v>
      </c>
      <c r="G103" s="13" t="s">
        <v>1604</v>
      </c>
      <c r="H103" s="13" t="s">
        <v>1605</v>
      </c>
      <c r="I103" s="13" t="s">
        <v>215</v>
      </c>
      <c r="J103" s="13" t="s">
        <v>897</v>
      </c>
      <c r="K103" s="58" t="s">
        <v>131</v>
      </c>
      <c r="L103" s="59" t="s">
        <v>131</v>
      </c>
    </row>
    <row r="104" ht="15.75" customHeight="1">
      <c r="A104" s="14">
        <v>103.0</v>
      </c>
      <c r="B104" s="13" t="s">
        <v>1586</v>
      </c>
      <c r="C104" s="13" t="s">
        <v>1610</v>
      </c>
      <c r="D104" s="13" t="s">
        <v>1611</v>
      </c>
      <c r="E104" s="13" t="s">
        <v>1613</v>
      </c>
      <c r="F104" s="13" t="s">
        <v>111</v>
      </c>
      <c r="G104" s="13" t="s">
        <v>1615</v>
      </c>
      <c r="H104" s="13" t="s">
        <v>1617</v>
      </c>
      <c r="I104" s="13" t="s">
        <v>641</v>
      </c>
      <c r="J104" s="13" t="s">
        <v>1619</v>
      </c>
      <c r="K104" s="58" t="s">
        <v>131</v>
      </c>
      <c r="L104" s="59" t="s">
        <v>131</v>
      </c>
    </row>
    <row r="105" ht="15.75" customHeight="1">
      <c r="A105" s="14">
        <v>104.0</v>
      </c>
      <c r="B105" s="13" t="s">
        <v>1621</v>
      </c>
      <c r="C105" s="13" t="s">
        <v>1623</v>
      </c>
      <c r="D105" s="13" t="s">
        <v>1624</v>
      </c>
      <c r="E105" s="13" t="s">
        <v>1626</v>
      </c>
      <c r="F105" s="13" t="s">
        <v>111</v>
      </c>
      <c r="G105" s="13" t="s">
        <v>1629</v>
      </c>
      <c r="H105" s="13" t="s">
        <v>1632</v>
      </c>
      <c r="I105" s="13" t="s">
        <v>1634</v>
      </c>
      <c r="J105" s="13" t="s">
        <v>1636</v>
      </c>
      <c r="K105" s="58" t="s">
        <v>131</v>
      </c>
      <c r="L105" s="59" t="s">
        <v>131</v>
      </c>
    </row>
    <row r="106" ht="15.75" customHeight="1">
      <c r="A106" s="14">
        <v>105.0</v>
      </c>
      <c r="B106" s="13" t="s">
        <v>1621</v>
      </c>
      <c r="C106" s="13" t="s">
        <v>1623</v>
      </c>
      <c r="D106" s="13" t="s">
        <v>1639</v>
      </c>
      <c r="E106" s="13" t="s">
        <v>1640</v>
      </c>
      <c r="F106" s="13" t="s">
        <v>111</v>
      </c>
      <c r="G106" s="13" t="s">
        <v>1641</v>
      </c>
      <c r="H106" s="13" t="s">
        <v>1643</v>
      </c>
      <c r="I106" s="13" t="s">
        <v>215</v>
      </c>
      <c r="J106" s="13" t="s">
        <v>1645</v>
      </c>
      <c r="K106" s="58" t="s">
        <v>131</v>
      </c>
      <c r="L106" s="59" t="s">
        <v>131</v>
      </c>
    </row>
    <row r="107" ht="15.75" customHeight="1">
      <c r="A107" s="14">
        <v>106.0</v>
      </c>
      <c r="B107" s="13" t="s">
        <v>1653</v>
      </c>
      <c r="C107" s="13" t="s">
        <v>1654</v>
      </c>
      <c r="D107" s="13" t="s">
        <v>1655</v>
      </c>
      <c r="E107" s="13" t="s">
        <v>1656</v>
      </c>
      <c r="F107" s="13" t="s">
        <v>111</v>
      </c>
      <c r="G107" s="13" t="s">
        <v>1657</v>
      </c>
      <c r="H107" s="13" t="s">
        <v>1658</v>
      </c>
      <c r="I107" s="13" t="s">
        <v>1659</v>
      </c>
      <c r="J107" s="13" t="s">
        <v>1662</v>
      </c>
      <c r="K107" s="58" t="s">
        <v>131</v>
      </c>
      <c r="L107" s="59" t="s">
        <v>131</v>
      </c>
    </row>
    <row r="108" ht="15.75" customHeight="1">
      <c r="A108" s="14">
        <v>107.0</v>
      </c>
      <c r="B108" s="13" t="s">
        <v>1653</v>
      </c>
      <c r="C108" s="13" t="s">
        <v>1654</v>
      </c>
      <c r="D108" s="13" t="s">
        <v>1666</v>
      </c>
      <c r="E108" s="13" t="s">
        <v>1667</v>
      </c>
      <c r="F108" s="13" t="s">
        <v>111</v>
      </c>
      <c r="G108" s="13" t="s">
        <v>1668</v>
      </c>
      <c r="H108" s="13" t="s">
        <v>1669</v>
      </c>
      <c r="I108" s="13" t="s">
        <v>1448</v>
      </c>
      <c r="J108" s="13" t="s">
        <v>1670</v>
      </c>
      <c r="K108" s="58" t="s">
        <v>131</v>
      </c>
      <c r="L108" s="59" t="s">
        <v>131</v>
      </c>
    </row>
    <row r="109" ht="15.75" customHeight="1">
      <c r="A109" s="14">
        <v>108.0</v>
      </c>
      <c r="B109" s="13" t="s">
        <v>1671</v>
      </c>
      <c r="C109" s="13" t="s">
        <v>1672</v>
      </c>
      <c r="D109" s="13" t="s">
        <v>1673</v>
      </c>
      <c r="E109" s="13" t="s">
        <v>1674</v>
      </c>
      <c r="F109" s="13" t="s">
        <v>111</v>
      </c>
      <c r="G109" s="13" t="s">
        <v>1675</v>
      </c>
      <c r="H109" s="13" t="s">
        <v>1676</v>
      </c>
      <c r="I109" s="13" t="s">
        <v>1677</v>
      </c>
      <c r="J109" s="13" t="s">
        <v>1678</v>
      </c>
      <c r="K109" s="58" t="s">
        <v>219</v>
      </c>
      <c r="L109" s="59" t="s">
        <v>219</v>
      </c>
    </row>
    <row r="110" ht="15.75" customHeight="1">
      <c r="A110" s="14">
        <v>109.0</v>
      </c>
      <c r="B110" s="13" t="s">
        <v>1671</v>
      </c>
      <c r="C110" s="13" t="s">
        <v>1672</v>
      </c>
      <c r="D110" s="13" t="s">
        <v>1681</v>
      </c>
      <c r="E110" s="13" t="s">
        <v>1682</v>
      </c>
      <c r="F110" s="13" t="s">
        <v>111</v>
      </c>
      <c r="G110" s="13" t="s">
        <v>1684</v>
      </c>
      <c r="H110" s="13" t="s">
        <v>1685</v>
      </c>
      <c r="I110" s="13" t="s">
        <v>1686</v>
      </c>
      <c r="J110" s="13" t="s">
        <v>1687</v>
      </c>
      <c r="K110" s="58" t="s">
        <v>219</v>
      </c>
      <c r="L110" s="59" t="s">
        <v>219</v>
      </c>
    </row>
    <row r="111" ht="15.75" customHeight="1">
      <c r="A111" s="14">
        <v>110.0</v>
      </c>
      <c r="B111" s="13" t="s">
        <v>1671</v>
      </c>
      <c r="C111" s="13" t="s">
        <v>1688</v>
      </c>
      <c r="D111" s="13" t="s">
        <v>1689</v>
      </c>
      <c r="E111" s="13" t="s">
        <v>1690</v>
      </c>
      <c r="F111" s="13" t="s">
        <v>111</v>
      </c>
      <c r="G111" s="13" t="s">
        <v>1691</v>
      </c>
      <c r="H111" s="13" t="s">
        <v>1693</v>
      </c>
      <c r="I111" s="13" t="s">
        <v>1695</v>
      </c>
      <c r="J111" s="13" t="s">
        <v>1696</v>
      </c>
      <c r="K111" s="58" t="s">
        <v>219</v>
      </c>
      <c r="L111" s="59" t="s">
        <v>219</v>
      </c>
    </row>
    <row r="112" ht="15.75" customHeight="1">
      <c r="A112" s="14">
        <v>111.0</v>
      </c>
      <c r="B112" s="13" t="s">
        <v>1671</v>
      </c>
      <c r="C112" s="13" t="s">
        <v>1697</v>
      </c>
      <c r="D112" s="13" t="s">
        <v>1698</v>
      </c>
      <c r="E112" s="13" t="s">
        <v>1699</v>
      </c>
      <c r="F112" s="13" t="s">
        <v>111</v>
      </c>
      <c r="G112" s="13" t="s">
        <v>1701</v>
      </c>
      <c r="H112" s="13" t="s">
        <v>1703</v>
      </c>
      <c r="I112" s="13" t="s">
        <v>1704</v>
      </c>
      <c r="J112" s="13" t="s">
        <v>1705</v>
      </c>
      <c r="K112" s="58" t="s">
        <v>219</v>
      </c>
      <c r="L112" s="59" t="s">
        <v>219</v>
      </c>
    </row>
    <row r="113" ht="15.75" customHeight="1">
      <c r="A113" s="14">
        <v>112.0</v>
      </c>
      <c r="B113" s="13" t="s">
        <v>1671</v>
      </c>
      <c r="C113" s="13" t="s">
        <v>1710</v>
      </c>
      <c r="D113" s="13" t="s">
        <v>1711</v>
      </c>
      <c r="E113" s="13" t="s">
        <v>1712</v>
      </c>
      <c r="F113" s="13" t="s">
        <v>111</v>
      </c>
      <c r="G113" s="13" t="s">
        <v>1715</v>
      </c>
      <c r="H113" s="13" t="s">
        <v>1716</v>
      </c>
      <c r="I113" s="13" t="s">
        <v>1717</v>
      </c>
      <c r="J113" s="13" t="s">
        <v>1718</v>
      </c>
      <c r="K113" s="58" t="s">
        <v>125</v>
      </c>
      <c r="L113" s="59" t="s">
        <v>131</v>
      </c>
    </row>
    <row r="114" ht="15.75" customHeight="1">
      <c r="A114" s="14">
        <v>113.0</v>
      </c>
      <c r="B114" s="13" t="s">
        <v>1671</v>
      </c>
      <c r="C114" s="13" t="s">
        <v>1723</v>
      </c>
      <c r="D114" s="13" t="s">
        <v>1724</v>
      </c>
      <c r="E114" s="13" t="s">
        <v>1726</v>
      </c>
      <c r="F114" s="13" t="s">
        <v>111</v>
      </c>
      <c r="G114" s="13" t="s">
        <v>1729</v>
      </c>
      <c r="H114" s="13" t="s">
        <v>1730</v>
      </c>
      <c r="I114" s="13" t="s">
        <v>1731</v>
      </c>
      <c r="J114" s="13" t="s">
        <v>1732</v>
      </c>
      <c r="K114" s="58" t="s">
        <v>219</v>
      </c>
      <c r="L114" s="59" t="s">
        <v>219</v>
      </c>
    </row>
    <row r="115" ht="15.75" customHeight="1">
      <c r="A115" s="14">
        <v>114.0</v>
      </c>
      <c r="B115" s="13" t="s">
        <v>1671</v>
      </c>
      <c r="C115" s="13" t="s">
        <v>1742</v>
      </c>
      <c r="D115" s="13" t="s">
        <v>1743</v>
      </c>
      <c r="E115" s="13" t="s">
        <v>1744</v>
      </c>
      <c r="F115" s="13" t="s">
        <v>111</v>
      </c>
      <c r="G115" s="13" t="s">
        <v>1745</v>
      </c>
      <c r="H115" s="13" t="s">
        <v>1746</v>
      </c>
      <c r="I115" s="13" t="s">
        <v>1747</v>
      </c>
      <c r="J115" s="13" t="s">
        <v>1749</v>
      </c>
      <c r="K115" s="58" t="s">
        <v>219</v>
      </c>
      <c r="L115" s="59" t="s">
        <v>219</v>
      </c>
    </row>
    <row r="116" ht="15.75" customHeight="1">
      <c r="A116" s="14">
        <v>115.0</v>
      </c>
      <c r="B116" s="13" t="s">
        <v>1671</v>
      </c>
      <c r="C116" s="13" t="s">
        <v>1742</v>
      </c>
      <c r="D116" s="13" t="s">
        <v>1754</v>
      </c>
      <c r="E116" s="13" t="s">
        <v>1755</v>
      </c>
      <c r="F116" s="13" t="s">
        <v>111</v>
      </c>
      <c r="G116" s="13" t="s">
        <v>1756</v>
      </c>
      <c r="H116" s="13" t="s">
        <v>1758</v>
      </c>
      <c r="I116" s="13" t="s">
        <v>1760</v>
      </c>
      <c r="J116" s="13" t="s">
        <v>1761</v>
      </c>
      <c r="K116" s="58" t="s">
        <v>219</v>
      </c>
      <c r="L116" s="59" t="s">
        <v>219</v>
      </c>
    </row>
    <row r="117" ht="15.75" customHeight="1">
      <c r="A117" s="14">
        <v>116.0</v>
      </c>
      <c r="B117" s="13" t="s">
        <v>1671</v>
      </c>
      <c r="C117" s="13" t="s">
        <v>1764</v>
      </c>
      <c r="D117" s="13" t="s">
        <v>1765</v>
      </c>
      <c r="E117" s="13" t="s">
        <v>1766</v>
      </c>
      <c r="F117" s="13" t="s">
        <v>111</v>
      </c>
      <c r="G117" s="13" t="s">
        <v>1767</v>
      </c>
      <c r="H117" s="13" t="s">
        <v>1768</v>
      </c>
      <c r="I117" s="13" t="s">
        <v>1770</v>
      </c>
      <c r="J117" s="13" t="s">
        <v>1772</v>
      </c>
      <c r="K117" s="58" t="s">
        <v>219</v>
      </c>
      <c r="L117" s="59" t="s">
        <v>219</v>
      </c>
    </row>
    <row r="118" ht="15.75" customHeight="1">
      <c r="A118" s="14">
        <v>117.0</v>
      </c>
      <c r="B118" s="13" t="s">
        <v>1671</v>
      </c>
      <c r="C118" s="13" t="s">
        <v>1775</v>
      </c>
      <c r="D118" s="13" t="s">
        <v>1777</v>
      </c>
      <c r="E118" s="13" t="s">
        <v>1778</v>
      </c>
      <c r="F118" s="13" t="s">
        <v>111</v>
      </c>
      <c r="G118" s="13" t="s">
        <v>1781</v>
      </c>
      <c r="H118" s="13" t="s">
        <v>1783</v>
      </c>
      <c r="I118" s="13" t="s">
        <v>1784</v>
      </c>
      <c r="J118" s="13" t="s">
        <v>1785</v>
      </c>
      <c r="K118" s="58" t="s">
        <v>219</v>
      </c>
      <c r="L118" s="59" t="s">
        <v>219</v>
      </c>
    </row>
    <row r="119" ht="15.75" customHeight="1">
      <c r="A119" s="14">
        <v>118.0</v>
      </c>
      <c r="B119" s="13" t="s">
        <v>1671</v>
      </c>
      <c r="C119" s="13" t="s">
        <v>1775</v>
      </c>
      <c r="D119" s="13" t="s">
        <v>1786</v>
      </c>
      <c r="E119" s="13" t="s">
        <v>1787</v>
      </c>
      <c r="F119" s="13" t="s">
        <v>111</v>
      </c>
      <c r="G119" s="13" t="s">
        <v>1788</v>
      </c>
      <c r="H119" s="13" t="s">
        <v>1790</v>
      </c>
      <c r="I119" s="13" t="s">
        <v>1792</v>
      </c>
      <c r="J119" s="13" t="s">
        <v>1793</v>
      </c>
      <c r="K119" s="58" t="s">
        <v>219</v>
      </c>
      <c r="L119" s="59" t="s">
        <v>219</v>
      </c>
    </row>
    <row r="120" ht="15.75" customHeight="1">
      <c r="A120" s="14">
        <v>119.0</v>
      </c>
      <c r="B120" s="13" t="s">
        <v>1671</v>
      </c>
      <c r="C120" s="13" t="s">
        <v>1799</v>
      </c>
      <c r="D120" s="13" t="s">
        <v>1802</v>
      </c>
      <c r="E120" s="13" t="s">
        <v>1803</v>
      </c>
      <c r="F120" s="13" t="s">
        <v>111</v>
      </c>
      <c r="G120" s="13" t="s">
        <v>1804</v>
      </c>
      <c r="H120" s="13" t="s">
        <v>1805</v>
      </c>
      <c r="I120" s="13" t="s">
        <v>1806</v>
      </c>
      <c r="J120" s="13" t="s">
        <v>1807</v>
      </c>
      <c r="K120" s="58" t="s">
        <v>219</v>
      </c>
      <c r="L120" s="59" t="s">
        <v>219</v>
      </c>
    </row>
    <row r="121" ht="15.75" customHeight="1">
      <c r="A121" s="14">
        <v>120.0</v>
      </c>
      <c r="B121" s="13" t="s">
        <v>1671</v>
      </c>
      <c r="C121" s="13" t="s">
        <v>1799</v>
      </c>
      <c r="D121" s="13" t="s">
        <v>1808</v>
      </c>
      <c r="E121" s="13" t="s">
        <v>1809</v>
      </c>
      <c r="F121" s="13" t="s">
        <v>111</v>
      </c>
      <c r="G121" s="13" t="s">
        <v>1812</v>
      </c>
      <c r="H121" s="13" t="s">
        <v>1813</v>
      </c>
      <c r="I121" s="13" t="s">
        <v>1814</v>
      </c>
      <c r="J121" s="13" t="s">
        <v>1816</v>
      </c>
      <c r="K121" s="58" t="s">
        <v>219</v>
      </c>
      <c r="L121" s="59" t="s">
        <v>219</v>
      </c>
    </row>
    <row r="122" ht="15.75" customHeight="1">
      <c r="A122" s="14">
        <v>121.0</v>
      </c>
      <c r="B122" s="13" t="s">
        <v>1671</v>
      </c>
      <c r="C122" s="13" t="s">
        <v>1799</v>
      </c>
      <c r="D122" s="13" t="s">
        <v>1821</v>
      </c>
      <c r="E122" s="13" t="s">
        <v>1823</v>
      </c>
      <c r="F122" s="13" t="s">
        <v>111</v>
      </c>
      <c r="G122" s="13" t="s">
        <v>1824</v>
      </c>
      <c r="H122" s="13" t="s">
        <v>1825</v>
      </c>
      <c r="I122" s="13" t="s">
        <v>1826</v>
      </c>
      <c r="J122" s="13" t="s">
        <v>1827</v>
      </c>
      <c r="K122" s="58" t="s">
        <v>219</v>
      </c>
      <c r="L122" s="59" t="s">
        <v>219</v>
      </c>
    </row>
    <row r="123" ht="15.75" customHeight="1">
      <c r="A123" s="14">
        <v>122.0</v>
      </c>
      <c r="B123" s="13" t="s">
        <v>1671</v>
      </c>
      <c r="C123" s="13" t="s">
        <v>1828</v>
      </c>
      <c r="D123" s="13" t="s">
        <v>1829</v>
      </c>
      <c r="E123" s="13" t="s">
        <v>1830</v>
      </c>
      <c r="F123" s="13" t="s">
        <v>111</v>
      </c>
      <c r="G123" s="13" t="s">
        <v>1833</v>
      </c>
      <c r="H123" s="13" t="s">
        <v>1835</v>
      </c>
      <c r="I123" s="13" t="s">
        <v>1836</v>
      </c>
      <c r="J123" s="13" t="s">
        <v>1837</v>
      </c>
      <c r="K123" s="58" t="s">
        <v>219</v>
      </c>
      <c r="L123" s="59" t="s">
        <v>219</v>
      </c>
    </row>
    <row r="124" ht="15.75" customHeight="1">
      <c r="A124" s="14">
        <v>123.0</v>
      </c>
      <c r="B124" s="13" t="s">
        <v>1671</v>
      </c>
      <c r="C124" s="13" t="s">
        <v>1842</v>
      </c>
      <c r="D124" s="13" t="s">
        <v>1843</v>
      </c>
      <c r="E124" s="13" t="s">
        <v>1844</v>
      </c>
      <c r="F124" s="13" t="s">
        <v>111</v>
      </c>
      <c r="G124" s="13" t="s">
        <v>1845</v>
      </c>
      <c r="H124" s="13" t="s">
        <v>1846</v>
      </c>
      <c r="I124" s="13" t="s">
        <v>1695</v>
      </c>
      <c r="J124" s="13" t="s">
        <v>1847</v>
      </c>
      <c r="K124" s="58" t="s">
        <v>219</v>
      </c>
      <c r="L124" s="59" t="s">
        <v>219</v>
      </c>
    </row>
    <row r="125" ht="15.75" customHeight="1">
      <c r="A125" s="14">
        <v>124.0</v>
      </c>
      <c r="B125" s="13" t="s">
        <v>1671</v>
      </c>
      <c r="C125" s="13" t="s">
        <v>1842</v>
      </c>
      <c r="D125" s="13" t="s">
        <v>1850</v>
      </c>
      <c r="E125" s="13" t="s">
        <v>1851</v>
      </c>
      <c r="F125" s="13" t="s">
        <v>111</v>
      </c>
      <c r="G125" s="13" t="s">
        <v>1852</v>
      </c>
      <c r="H125" s="13" t="s">
        <v>1853</v>
      </c>
      <c r="I125" s="13" t="s">
        <v>1854</v>
      </c>
      <c r="J125" s="13" t="s">
        <v>1856</v>
      </c>
      <c r="K125" s="58" t="s">
        <v>219</v>
      </c>
      <c r="L125" s="59" t="s">
        <v>219</v>
      </c>
    </row>
    <row r="126" ht="15.75" customHeight="1">
      <c r="A126" s="14">
        <v>125.0</v>
      </c>
      <c r="B126" s="13" t="s">
        <v>1671</v>
      </c>
      <c r="C126" s="13" t="s">
        <v>1842</v>
      </c>
      <c r="D126" s="13" t="s">
        <v>1862</v>
      </c>
      <c r="E126" s="13" t="s">
        <v>1863</v>
      </c>
      <c r="F126" s="13" t="s">
        <v>111</v>
      </c>
      <c r="G126" s="13" t="s">
        <v>1864</v>
      </c>
      <c r="H126" s="13" t="s">
        <v>1865</v>
      </c>
      <c r="I126" s="13" t="s">
        <v>1866</v>
      </c>
      <c r="J126" s="13" t="s">
        <v>1841</v>
      </c>
      <c r="K126" s="58" t="s">
        <v>219</v>
      </c>
      <c r="L126" s="59" t="s">
        <v>219</v>
      </c>
    </row>
    <row r="127" ht="15.75" customHeight="1">
      <c r="A127" s="14">
        <v>126.0</v>
      </c>
      <c r="B127" s="13" t="s">
        <v>1671</v>
      </c>
      <c r="C127" s="13" t="s">
        <v>1873</v>
      </c>
      <c r="D127" s="13" t="s">
        <v>1874</v>
      </c>
      <c r="E127" s="13" t="s">
        <v>1875</v>
      </c>
      <c r="F127" s="13" t="s">
        <v>111</v>
      </c>
      <c r="G127" s="13" t="s">
        <v>1876</v>
      </c>
      <c r="H127" s="13" t="s">
        <v>1877</v>
      </c>
      <c r="I127" s="13" t="s">
        <v>1878</v>
      </c>
      <c r="J127" s="13" t="s">
        <v>1879</v>
      </c>
      <c r="K127" s="58" t="s">
        <v>219</v>
      </c>
      <c r="L127" s="59" t="s">
        <v>219</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C54E543-E13C-48C4-B68D-717898624882}" filter="1" showAutoFilter="1">
      <autoFilter ref="$A$1:$M$127"/>
    </customSheetView>
  </customSheetViews>
  <dataValidations>
    <dataValidation type="list" allowBlank="1" sqref="F2:F127">
      <formula1>"Chủ cửa hàng (web)"</formula1>
    </dataValidation>
    <dataValidation type="list" allowBlank="1" sqref="K2:K127">
      <formula1>"Sãn sàng cho Test,Đang làm,Hoãn"</formula1>
    </dataValidation>
    <dataValidation type="list" allowBlank="1" sqref="L2:M95">
      <formula1>"Sãn sàng cho Test,Đang làm,Hoãn"</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4.0"/>
    <col customWidth="1" min="3" max="3" width="19.71"/>
    <col customWidth="1" min="4" max="4" width="26.29"/>
    <col customWidth="1" min="5" max="5" width="15.57"/>
    <col customWidth="1" min="6" max="6" width="28.14"/>
    <col customWidth="1" min="7" max="7" width="17.57"/>
    <col customWidth="1" min="8" max="8" width="10.57"/>
    <col customWidth="1" min="9" max="9" width="29.29"/>
    <col customWidth="1" min="10" max="10" width="27.71"/>
    <col customWidth="1" min="11" max="11" width="24.71"/>
    <col customWidth="1" min="12" max="26" width="8.71"/>
  </cols>
  <sheetData>
    <row r="1">
      <c r="A1" s="7" t="s">
        <v>40</v>
      </c>
      <c r="B1" s="8"/>
      <c r="C1" s="8"/>
      <c r="D1" s="8"/>
      <c r="E1" s="8"/>
      <c r="F1" s="8"/>
      <c r="G1" s="8"/>
      <c r="H1" s="8"/>
      <c r="I1" s="8"/>
      <c r="J1" s="8"/>
      <c r="K1" s="8"/>
    </row>
    <row r="2" ht="31.5" customHeight="1">
      <c r="A2" s="5" t="s">
        <v>48</v>
      </c>
      <c r="B2" s="5" t="s">
        <v>55</v>
      </c>
      <c r="C2" s="5" t="s">
        <v>58</v>
      </c>
      <c r="D2" s="5" t="s">
        <v>61</v>
      </c>
      <c r="E2" s="5" t="s">
        <v>65</v>
      </c>
      <c r="F2" s="5" t="s">
        <v>68</v>
      </c>
      <c r="G2" s="5" t="s">
        <v>70</v>
      </c>
      <c r="H2" s="5" t="s">
        <v>72</v>
      </c>
      <c r="I2" s="5" t="s">
        <v>75</v>
      </c>
      <c r="J2" s="5" t="s">
        <v>78</v>
      </c>
      <c r="K2" s="11" t="s">
        <v>69</v>
      </c>
    </row>
    <row r="3">
      <c r="A3" s="13" t="s">
        <v>83</v>
      </c>
      <c r="B3" s="13" t="s">
        <v>87</v>
      </c>
      <c r="C3" s="13" t="s">
        <v>91</v>
      </c>
      <c r="D3" s="13" t="s">
        <v>95</v>
      </c>
      <c r="E3" s="13" t="s">
        <v>97</v>
      </c>
      <c r="F3" s="13" t="s">
        <v>102</v>
      </c>
      <c r="G3" s="13" t="s">
        <v>106</v>
      </c>
      <c r="H3" s="13" t="s">
        <v>110</v>
      </c>
      <c r="I3" s="13" t="s">
        <v>116</v>
      </c>
      <c r="J3" s="13" t="s">
        <v>120</v>
      </c>
      <c r="K3" s="11" t="s">
        <v>125</v>
      </c>
    </row>
    <row r="4">
      <c r="A4" s="13" t="s">
        <v>127</v>
      </c>
      <c r="B4" s="13" t="s">
        <v>129</v>
      </c>
      <c r="C4" s="13" t="s">
        <v>130</v>
      </c>
      <c r="D4" s="13" t="s">
        <v>95</v>
      </c>
      <c r="E4" s="13" t="s">
        <v>97</v>
      </c>
      <c r="F4" s="13" t="s">
        <v>132</v>
      </c>
      <c r="G4" s="13" t="s">
        <v>106</v>
      </c>
      <c r="H4" s="13" t="s">
        <v>133</v>
      </c>
      <c r="I4" s="13" t="s">
        <v>134</v>
      </c>
      <c r="J4" s="13" t="s">
        <v>135</v>
      </c>
      <c r="K4" s="11" t="s">
        <v>125</v>
      </c>
    </row>
    <row r="5">
      <c r="A5" s="13" t="s">
        <v>136</v>
      </c>
      <c r="B5" s="13" t="s">
        <v>138</v>
      </c>
      <c r="C5" s="13" t="s">
        <v>91</v>
      </c>
      <c r="D5" s="19" t="s">
        <v>141</v>
      </c>
      <c r="E5" s="13" t="s">
        <v>142</v>
      </c>
      <c r="F5" s="13" t="s">
        <v>146</v>
      </c>
      <c r="G5" s="19" t="s">
        <v>106</v>
      </c>
      <c r="H5" s="13" t="s">
        <v>149</v>
      </c>
      <c r="I5" s="13" t="s">
        <v>151</v>
      </c>
      <c r="J5" s="13" t="s">
        <v>154</v>
      </c>
      <c r="K5" s="11" t="s">
        <v>125</v>
      </c>
    </row>
    <row r="6">
      <c r="A6" s="13" t="s">
        <v>156</v>
      </c>
      <c r="B6" s="13" t="s">
        <v>158</v>
      </c>
      <c r="C6" s="13" t="s">
        <v>158</v>
      </c>
      <c r="D6" s="13" t="s">
        <v>95</v>
      </c>
      <c r="E6" s="13" t="s">
        <v>97</v>
      </c>
      <c r="F6" s="13" t="s">
        <v>102</v>
      </c>
      <c r="G6" s="13" t="s">
        <v>106</v>
      </c>
      <c r="H6" s="13" t="s">
        <v>161</v>
      </c>
      <c r="I6" s="13" t="s">
        <v>162</v>
      </c>
      <c r="J6" s="13" t="s">
        <v>166</v>
      </c>
      <c r="K6" s="11" t="s">
        <v>125</v>
      </c>
    </row>
    <row r="7">
      <c r="A7" s="8"/>
      <c r="B7" s="8"/>
      <c r="C7" s="8"/>
      <c r="D7" s="8"/>
      <c r="E7" s="8"/>
      <c r="F7" s="8"/>
      <c r="G7" s="8"/>
      <c r="H7" s="8"/>
      <c r="I7" s="8"/>
      <c r="J7" s="8"/>
      <c r="K7" s="8"/>
    </row>
    <row r="8">
      <c r="A8" s="7" t="s">
        <v>170</v>
      </c>
      <c r="B8" s="8"/>
      <c r="C8" s="8"/>
      <c r="D8" s="8"/>
      <c r="E8" s="8"/>
      <c r="F8" s="8"/>
      <c r="G8" s="8"/>
      <c r="H8" s="8"/>
      <c r="I8" s="8"/>
      <c r="J8" s="8"/>
      <c r="K8" s="8"/>
    </row>
    <row r="9" ht="31.5" customHeight="1">
      <c r="A9" s="5" t="s">
        <v>173</v>
      </c>
      <c r="B9" s="5" t="s">
        <v>176</v>
      </c>
      <c r="C9" s="5" t="s">
        <v>177</v>
      </c>
      <c r="D9" s="5" t="s">
        <v>178</v>
      </c>
      <c r="E9" s="5" t="s">
        <v>179</v>
      </c>
      <c r="F9" s="5" t="s">
        <v>180</v>
      </c>
      <c r="G9" s="5" t="s">
        <v>181</v>
      </c>
      <c r="H9" s="5" t="s">
        <v>183</v>
      </c>
      <c r="I9" s="5" t="s">
        <v>185</v>
      </c>
      <c r="J9" s="5" t="s">
        <v>186</v>
      </c>
      <c r="K9" s="5" t="s">
        <v>189</v>
      </c>
    </row>
    <row r="10">
      <c r="A10" s="13" t="s">
        <v>191</v>
      </c>
      <c r="B10" s="13" t="s">
        <v>193</v>
      </c>
      <c r="C10" s="13" t="s">
        <v>109</v>
      </c>
      <c r="D10" s="13" t="s">
        <v>156</v>
      </c>
      <c r="E10" s="13" t="s">
        <v>200</v>
      </c>
      <c r="F10" s="13" t="s">
        <v>201</v>
      </c>
      <c r="G10" s="13"/>
      <c r="H10" s="13"/>
      <c r="I10" s="13" t="s">
        <v>202</v>
      </c>
      <c r="J10" s="13" t="s">
        <v>203</v>
      </c>
      <c r="K10" s="13" t="s">
        <v>203</v>
      </c>
    </row>
    <row r="11">
      <c r="A11" s="13" t="s">
        <v>206</v>
      </c>
      <c r="B11" s="13" t="s">
        <v>208</v>
      </c>
      <c r="C11" s="13" t="s">
        <v>109</v>
      </c>
      <c r="D11" s="13" t="s">
        <v>156</v>
      </c>
      <c r="E11" s="13" t="s">
        <v>200</v>
      </c>
      <c r="F11" s="13" t="s">
        <v>201</v>
      </c>
      <c r="G11" s="13"/>
      <c r="H11" s="13"/>
      <c r="I11" s="13" t="s">
        <v>202</v>
      </c>
      <c r="J11" s="13" t="s">
        <v>203</v>
      </c>
      <c r="K11" s="13" t="s">
        <v>203</v>
      </c>
    </row>
    <row r="12">
      <c r="A12" s="13" t="s">
        <v>220</v>
      </c>
      <c r="B12" s="13" t="s">
        <v>221</v>
      </c>
      <c r="C12" s="13" t="s">
        <v>109</v>
      </c>
      <c r="D12" s="13" t="s">
        <v>156</v>
      </c>
      <c r="E12" s="13" t="s">
        <v>200</v>
      </c>
      <c r="F12" s="13" t="s">
        <v>201</v>
      </c>
      <c r="G12" s="13"/>
      <c r="H12" s="13"/>
      <c r="I12" s="13" t="s">
        <v>202</v>
      </c>
      <c r="J12" s="13" t="s">
        <v>203</v>
      </c>
      <c r="K12" s="13" t="s">
        <v>203</v>
      </c>
    </row>
    <row r="13">
      <c r="A13" s="13" t="s">
        <v>225</v>
      </c>
      <c r="B13" s="13" t="s">
        <v>226</v>
      </c>
      <c r="C13" s="13" t="s">
        <v>109</v>
      </c>
      <c r="D13" s="13" t="s">
        <v>156</v>
      </c>
      <c r="E13" s="13" t="s">
        <v>200</v>
      </c>
      <c r="F13" s="13" t="s">
        <v>201</v>
      </c>
      <c r="G13" s="13"/>
      <c r="H13" s="13"/>
      <c r="I13" s="13" t="s">
        <v>202</v>
      </c>
      <c r="J13" s="13" t="s">
        <v>203</v>
      </c>
      <c r="K13" s="13" t="s">
        <v>203</v>
      </c>
    </row>
    <row r="14">
      <c r="A14" s="13" t="s">
        <v>236</v>
      </c>
      <c r="B14" s="13" t="s">
        <v>237</v>
      </c>
      <c r="C14" s="13" t="s">
        <v>109</v>
      </c>
      <c r="D14" s="13" t="s">
        <v>156</v>
      </c>
      <c r="E14" s="13" t="s">
        <v>200</v>
      </c>
      <c r="F14" s="13" t="s">
        <v>201</v>
      </c>
      <c r="G14" s="13"/>
      <c r="H14" s="13"/>
      <c r="I14" s="13" t="s">
        <v>202</v>
      </c>
      <c r="J14" s="13" t="s">
        <v>203</v>
      </c>
      <c r="K14" s="13" t="s">
        <v>203</v>
      </c>
    </row>
    <row r="15">
      <c r="A15" s="13" t="s">
        <v>242</v>
      </c>
      <c r="B15" s="13" t="s">
        <v>244</v>
      </c>
      <c r="C15" s="13" t="s">
        <v>109</v>
      </c>
      <c r="D15" s="13" t="s">
        <v>156</v>
      </c>
      <c r="E15" s="13" t="s">
        <v>200</v>
      </c>
      <c r="F15" s="13" t="s">
        <v>201</v>
      </c>
      <c r="G15" s="13"/>
      <c r="H15" s="13"/>
      <c r="I15" s="13" t="s">
        <v>202</v>
      </c>
      <c r="J15" s="13" t="s">
        <v>203</v>
      </c>
      <c r="K15" s="13" t="s">
        <v>203</v>
      </c>
    </row>
    <row r="16">
      <c r="A16" s="13" t="s">
        <v>254</v>
      </c>
      <c r="B16" s="13" t="s">
        <v>255</v>
      </c>
      <c r="C16" s="13" t="s">
        <v>109</v>
      </c>
      <c r="D16" s="13" t="s">
        <v>156</v>
      </c>
      <c r="E16" s="13" t="s">
        <v>200</v>
      </c>
      <c r="F16" s="13" t="s">
        <v>201</v>
      </c>
      <c r="G16" s="13"/>
      <c r="H16" s="13"/>
      <c r="I16" s="13" t="s">
        <v>202</v>
      </c>
      <c r="J16" s="13" t="s">
        <v>203</v>
      </c>
      <c r="K16" s="13" t="s">
        <v>203</v>
      </c>
    </row>
    <row r="17">
      <c r="A17" s="13" t="s">
        <v>258</v>
      </c>
      <c r="B17" s="13" t="s">
        <v>259</v>
      </c>
      <c r="C17" s="13" t="s">
        <v>109</v>
      </c>
      <c r="D17" s="13" t="s">
        <v>156</v>
      </c>
      <c r="E17" s="13" t="s">
        <v>200</v>
      </c>
      <c r="F17" s="13" t="s">
        <v>201</v>
      </c>
      <c r="G17" s="13"/>
      <c r="H17" s="13"/>
      <c r="I17" s="13" t="s">
        <v>202</v>
      </c>
      <c r="J17" s="13" t="s">
        <v>203</v>
      </c>
      <c r="K17" s="13" t="s">
        <v>203</v>
      </c>
    </row>
    <row r="18">
      <c r="A18" s="13" t="s">
        <v>268</v>
      </c>
      <c r="B18" s="13" t="s">
        <v>270</v>
      </c>
      <c r="C18" s="13" t="s">
        <v>109</v>
      </c>
      <c r="D18" s="13" t="s">
        <v>156</v>
      </c>
      <c r="E18" s="13" t="s">
        <v>200</v>
      </c>
      <c r="F18" s="13" t="s">
        <v>201</v>
      </c>
      <c r="G18" s="13"/>
      <c r="H18" s="13"/>
      <c r="I18" s="13" t="s">
        <v>202</v>
      </c>
      <c r="J18" s="13" t="s">
        <v>203</v>
      </c>
      <c r="K18" s="13" t="s">
        <v>203</v>
      </c>
    </row>
    <row r="19">
      <c r="A19" s="13" t="s">
        <v>273</v>
      </c>
      <c r="B19" s="13" t="s">
        <v>275</v>
      </c>
      <c r="C19" s="13" t="s">
        <v>109</v>
      </c>
      <c r="D19" s="13" t="s">
        <v>156</v>
      </c>
      <c r="E19" s="13" t="s">
        <v>200</v>
      </c>
      <c r="F19" s="13" t="s">
        <v>201</v>
      </c>
      <c r="G19" s="13"/>
      <c r="H19" s="13"/>
      <c r="I19" s="13" t="s">
        <v>202</v>
      </c>
      <c r="J19" s="13" t="s">
        <v>203</v>
      </c>
      <c r="K19" s="13" t="s">
        <v>203</v>
      </c>
    </row>
    <row r="20">
      <c r="A20" s="13" t="s">
        <v>291</v>
      </c>
      <c r="B20" s="13" t="s">
        <v>292</v>
      </c>
      <c r="C20" s="13" t="s">
        <v>109</v>
      </c>
      <c r="D20" s="13" t="s">
        <v>156</v>
      </c>
      <c r="E20" s="13" t="s">
        <v>200</v>
      </c>
      <c r="F20" s="13" t="s">
        <v>201</v>
      </c>
      <c r="G20" s="13"/>
      <c r="H20" s="13"/>
      <c r="I20" s="13" t="s">
        <v>202</v>
      </c>
      <c r="J20" s="13" t="s">
        <v>203</v>
      </c>
      <c r="K20" s="13" t="s">
        <v>203</v>
      </c>
    </row>
    <row r="21" ht="15.75" customHeight="1">
      <c r="A21" s="13" t="s">
        <v>295</v>
      </c>
      <c r="B21" s="13" t="s">
        <v>296</v>
      </c>
      <c r="C21" s="13" t="s">
        <v>109</v>
      </c>
      <c r="D21" s="13" t="s">
        <v>156</v>
      </c>
      <c r="E21" s="13" t="s">
        <v>200</v>
      </c>
      <c r="F21" s="13" t="s">
        <v>201</v>
      </c>
      <c r="G21" s="13"/>
      <c r="H21" s="13"/>
      <c r="I21" s="13" t="s">
        <v>202</v>
      </c>
      <c r="J21" s="13" t="s">
        <v>203</v>
      </c>
      <c r="K21" s="13" t="s">
        <v>203</v>
      </c>
    </row>
    <row r="22" ht="15.75" customHeight="1">
      <c r="A22" s="13" t="s">
        <v>307</v>
      </c>
      <c r="B22" s="13" t="s">
        <v>309</v>
      </c>
      <c r="C22" s="13" t="s">
        <v>109</v>
      </c>
      <c r="D22" s="13" t="s">
        <v>156</v>
      </c>
      <c r="E22" s="13" t="s">
        <v>200</v>
      </c>
      <c r="F22" s="13" t="s">
        <v>201</v>
      </c>
      <c r="G22" s="13"/>
      <c r="H22" s="13"/>
      <c r="I22" s="13" t="s">
        <v>202</v>
      </c>
      <c r="J22" s="13" t="s">
        <v>203</v>
      </c>
      <c r="K22" s="13" t="s">
        <v>203</v>
      </c>
    </row>
    <row r="23" ht="15.75" customHeight="1">
      <c r="A23" s="13" t="s">
        <v>316</v>
      </c>
      <c r="B23" s="13" t="s">
        <v>318</v>
      </c>
      <c r="C23" s="13" t="s">
        <v>109</v>
      </c>
      <c r="D23" s="13" t="s">
        <v>156</v>
      </c>
      <c r="E23" s="13" t="s">
        <v>200</v>
      </c>
      <c r="F23" s="13" t="s">
        <v>201</v>
      </c>
      <c r="G23" s="13"/>
      <c r="H23" s="13"/>
      <c r="I23" s="13" t="s">
        <v>202</v>
      </c>
      <c r="J23" s="13" t="s">
        <v>203</v>
      </c>
      <c r="K23" s="13" t="s">
        <v>203</v>
      </c>
    </row>
    <row r="24" ht="15.75" customHeight="1">
      <c r="A24" s="13" t="s">
        <v>327</v>
      </c>
      <c r="B24" s="13" t="s">
        <v>330</v>
      </c>
      <c r="C24" s="13" t="s">
        <v>109</v>
      </c>
      <c r="D24" s="13" t="s">
        <v>156</v>
      </c>
      <c r="E24" s="13" t="s">
        <v>200</v>
      </c>
      <c r="F24" s="13" t="s">
        <v>201</v>
      </c>
      <c r="G24" s="13"/>
      <c r="H24" s="13"/>
      <c r="I24" s="13" t="s">
        <v>202</v>
      </c>
      <c r="J24" s="13" t="s">
        <v>203</v>
      </c>
      <c r="K24" s="13" t="s">
        <v>203</v>
      </c>
    </row>
    <row r="25" ht="15.75" customHeight="1">
      <c r="A25" s="13" t="s">
        <v>333</v>
      </c>
      <c r="B25" s="13" t="s">
        <v>335</v>
      </c>
      <c r="C25" s="13" t="s">
        <v>109</v>
      </c>
      <c r="D25" s="13" t="s">
        <v>156</v>
      </c>
      <c r="E25" s="13" t="s">
        <v>200</v>
      </c>
      <c r="F25" s="13" t="s">
        <v>201</v>
      </c>
      <c r="G25" s="13"/>
      <c r="H25" s="13"/>
      <c r="I25" s="13" t="s">
        <v>202</v>
      </c>
      <c r="J25" s="13" t="s">
        <v>203</v>
      </c>
      <c r="K25" s="13" t="s">
        <v>203</v>
      </c>
    </row>
    <row r="26" ht="15.75" customHeight="1">
      <c r="A26" s="13" t="s">
        <v>344</v>
      </c>
      <c r="B26" s="13" t="s">
        <v>345</v>
      </c>
      <c r="C26" s="13" t="s">
        <v>109</v>
      </c>
      <c r="D26" s="13" t="s">
        <v>156</v>
      </c>
      <c r="E26" s="13" t="s">
        <v>200</v>
      </c>
      <c r="F26" s="13" t="s">
        <v>201</v>
      </c>
      <c r="G26" s="13"/>
      <c r="H26" s="13"/>
      <c r="I26" s="13" t="s">
        <v>202</v>
      </c>
      <c r="J26" s="13" t="s">
        <v>203</v>
      </c>
      <c r="K26" s="13" t="s">
        <v>203</v>
      </c>
    </row>
    <row r="27" ht="15.75" customHeight="1">
      <c r="A27" s="13" t="s">
        <v>355</v>
      </c>
      <c r="B27" s="13" t="s">
        <v>356</v>
      </c>
      <c r="C27" s="13" t="s">
        <v>109</v>
      </c>
      <c r="D27" s="13" t="s">
        <v>156</v>
      </c>
      <c r="E27" s="13" t="s">
        <v>200</v>
      </c>
      <c r="F27" s="13" t="s">
        <v>201</v>
      </c>
      <c r="G27" s="13"/>
      <c r="H27" s="13"/>
      <c r="I27" s="13" t="s">
        <v>202</v>
      </c>
      <c r="J27" s="13" t="s">
        <v>203</v>
      </c>
      <c r="K27" s="13" t="s">
        <v>203</v>
      </c>
    </row>
    <row r="28" ht="15.75" customHeight="1">
      <c r="A28" s="13" t="s">
        <v>363</v>
      </c>
      <c r="B28" s="13" t="s">
        <v>364</v>
      </c>
      <c r="C28" s="13" t="s">
        <v>109</v>
      </c>
      <c r="D28" s="13" t="s">
        <v>156</v>
      </c>
      <c r="E28" s="13" t="s">
        <v>200</v>
      </c>
      <c r="F28" s="13" t="s">
        <v>201</v>
      </c>
      <c r="G28" s="13"/>
      <c r="H28" s="13"/>
      <c r="I28" s="13" t="s">
        <v>202</v>
      </c>
      <c r="J28" s="13" t="s">
        <v>203</v>
      </c>
      <c r="K28" s="13" t="s">
        <v>203</v>
      </c>
    </row>
    <row r="29" ht="15.75" customHeight="1">
      <c r="A29" s="13" t="s">
        <v>377</v>
      </c>
      <c r="B29" s="13" t="s">
        <v>378</v>
      </c>
      <c r="C29" s="13" t="s">
        <v>109</v>
      </c>
      <c r="D29" s="13" t="s">
        <v>156</v>
      </c>
      <c r="E29" s="13" t="s">
        <v>200</v>
      </c>
      <c r="F29" s="13" t="s">
        <v>201</v>
      </c>
      <c r="G29" s="13"/>
      <c r="H29" s="13"/>
      <c r="I29" s="13" t="s">
        <v>202</v>
      </c>
      <c r="J29" s="13" t="s">
        <v>203</v>
      </c>
      <c r="K29" s="13" t="s">
        <v>203</v>
      </c>
    </row>
    <row r="30" ht="15.75" customHeight="1">
      <c r="A30" s="13" t="s">
        <v>384</v>
      </c>
      <c r="B30" s="13" t="s">
        <v>385</v>
      </c>
      <c r="C30" s="13" t="s">
        <v>109</v>
      </c>
      <c r="D30" s="13" t="s">
        <v>156</v>
      </c>
      <c r="E30" s="13" t="s">
        <v>200</v>
      </c>
      <c r="F30" s="13" t="s">
        <v>201</v>
      </c>
      <c r="G30" s="13"/>
      <c r="H30" s="13"/>
      <c r="I30" s="13" t="s">
        <v>202</v>
      </c>
      <c r="J30" s="13" t="s">
        <v>203</v>
      </c>
      <c r="K30" s="13" t="s">
        <v>203</v>
      </c>
    </row>
    <row r="31" ht="15.75" customHeight="1">
      <c r="A31" s="13" t="s">
        <v>394</v>
      </c>
      <c r="B31" s="13" t="s">
        <v>395</v>
      </c>
      <c r="C31" s="13" t="s">
        <v>109</v>
      </c>
      <c r="D31" s="13" t="s">
        <v>156</v>
      </c>
      <c r="E31" s="13" t="s">
        <v>200</v>
      </c>
      <c r="F31" s="13" t="s">
        <v>201</v>
      </c>
      <c r="G31" s="13"/>
      <c r="H31" s="13"/>
      <c r="I31" s="13" t="s">
        <v>202</v>
      </c>
      <c r="J31" s="13" t="s">
        <v>203</v>
      </c>
      <c r="K31" s="13" t="s">
        <v>203</v>
      </c>
    </row>
    <row r="32" ht="15.75" customHeight="1">
      <c r="A32" s="13" t="s">
        <v>399</v>
      </c>
      <c r="B32" s="13" t="s">
        <v>400</v>
      </c>
      <c r="C32" s="13" t="s">
        <v>109</v>
      </c>
      <c r="D32" s="13" t="s">
        <v>156</v>
      </c>
      <c r="E32" s="13" t="s">
        <v>200</v>
      </c>
      <c r="F32" s="13" t="s">
        <v>201</v>
      </c>
      <c r="G32" s="13"/>
      <c r="H32" s="13"/>
      <c r="I32" s="13" t="s">
        <v>202</v>
      </c>
      <c r="J32" s="13" t="s">
        <v>203</v>
      </c>
      <c r="K32" s="13" t="s">
        <v>203</v>
      </c>
    </row>
    <row r="33" ht="15.75" customHeight="1">
      <c r="A33" s="13" t="s">
        <v>407</v>
      </c>
      <c r="B33" s="13" t="s">
        <v>409</v>
      </c>
      <c r="C33" s="13" t="s">
        <v>109</v>
      </c>
      <c r="D33" s="13" t="s">
        <v>156</v>
      </c>
      <c r="E33" s="13" t="s">
        <v>200</v>
      </c>
      <c r="F33" s="13" t="s">
        <v>201</v>
      </c>
      <c r="G33" s="13"/>
      <c r="H33" s="13"/>
      <c r="I33" s="13" t="s">
        <v>202</v>
      </c>
      <c r="J33" s="13" t="s">
        <v>203</v>
      </c>
      <c r="K33" s="13" t="s">
        <v>203</v>
      </c>
    </row>
    <row r="34" ht="15.75" customHeight="1">
      <c r="A34" s="13" t="s">
        <v>417</v>
      </c>
      <c r="B34" s="13" t="s">
        <v>420</v>
      </c>
      <c r="C34" s="13" t="s">
        <v>109</v>
      </c>
      <c r="D34" s="13" t="s">
        <v>156</v>
      </c>
      <c r="E34" s="13" t="s">
        <v>200</v>
      </c>
      <c r="F34" s="13" t="s">
        <v>201</v>
      </c>
      <c r="G34" s="13"/>
      <c r="H34" s="13"/>
      <c r="I34" s="13" t="s">
        <v>202</v>
      </c>
      <c r="J34" s="13" t="s">
        <v>203</v>
      </c>
      <c r="K34" s="13" t="s">
        <v>203</v>
      </c>
    </row>
    <row r="35" ht="15.75" customHeight="1">
      <c r="A35" s="13" t="s">
        <v>428</v>
      </c>
      <c r="B35" s="13" t="s">
        <v>431</v>
      </c>
      <c r="C35" s="13" t="s">
        <v>109</v>
      </c>
      <c r="D35" s="13" t="s">
        <v>156</v>
      </c>
      <c r="E35" s="13" t="s">
        <v>200</v>
      </c>
      <c r="F35" s="13" t="s">
        <v>201</v>
      </c>
      <c r="G35" s="13"/>
      <c r="H35" s="13"/>
      <c r="I35" s="13" t="s">
        <v>202</v>
      </c>
      <c r="J35" s="13" t="s">
        <v>203</v>
      </c>
      <c r="K35" s="13" t="s">
        <v>203</v>
      </c>
    </row>
    <row r="36" ht="15.75" customHeight="1">
      <c r="A36" s="13" t="s">
        <v>438</v>
      </c>
      <c r="B36" s="13" t="s">
        <v>441</v>
      </c>
      <c r="C36" s="13" t="s">
        <v>109</v>
      </c>
      <c r="D36" s="13" t="s">
        <v>156</v>
      </c>
      <c r="E36" s="13" t="s">
        <v>200</v>
      </c>
      <c r="F36" s="13" t="s">
        <v>201</v>
      </c>
      <c r="G36" s="13"/>
      <c r="H36" s="13"/>
      <c r="I36" s="13" t="s">
        <v>202</v>
      </c>
      <c r="J36" s="13" t="s">
        <v>203</v>
      </c>
      <c r="K36" s="13" t="s">
        <v>203</v>
      </c>
    </row>
    <row r="37" ht="15.75" customHeight="1">
      <c r="A37" s="13" t="s">
        <v>449</v>
      </c>
      <c r="B37" s="13" t="s">
        <v>450</v>
      </c>
      <c r="C37" s="13" t="s">
        <v>109</v>
      </c>
      <c r="D37" s="13" t="s">
        <v>156</v>
      </c>
      <c r="E37" s="13" t="s">
        <v>200</v>
      </c>
      <c r="F37" s="13" t="s">
        <v>201</v>
      </c>
      <c r="G37" s="13"/>
      <c r="H37" s="13"/>
      <c r="I37" s="13" t="s">
        <v>202</v>
      </c>
      <c r="J37" s="13" t="s">
        <v>203</v>
      </c>
      <c r="K37" s="13" t="s">
        <v>203</v>
      </c>
    </row>
    <row r="38" ht="15.75" customHeight="1">
      <c r="A38" s="13" t="s">
        <v>460</v>
      </c>
      <c r="B38" s="13" t="s">
        <v>461</v>
      </c>
      <c r="C38" s="13" t="s">
        <v>109</v>
      </c>
      <c r="D38" s="13" t="s">
        <v>156</v>
      </c>
      <c r="E38" s="13" t="s">
        <v>200</v>
      </c>
      <c r="F38" s="13" t="s">
        <v>201</v>
      </c>
      <c r="G38" s="13"/>
      <c r="H38" s="13"/>
      <c r="I38" s="13" t="s">
        <v>202</v>
      </c>
      <c r="J38" s="13" t="s">
        <v>203</v>
      </c>
      <c r="K38" s="13" t="s">
        <v>203</v>
      </c>
    </row>
    <row r="39" ht="15.75" customHeight="1">
      <c r="A39" s="13" t="s">
        <v>472</v>
      </c>
      <c r="B39" s="13" t="s">
        <v>473</v>
      </c>
      <c r="C39" s="13" t="s">
        <v>109</v>
      </c>
      <c r="D39" s="13" t="s">
        <v>156</v>
      </c>
      <c r="E39" s="13" t="s">
        <v>200</v>
      </c>
      <c r="F39" s="13" t="s">
        <v>201</v>
      </c>
      <c r="G39" s="13"/>
      <c r="H39" s="13"/>
      <c r="I39" s="13" t="s">
        <v>202</v>
      </c>
      <c r="J39" s="13" t="s">
        <v>203</v>
      </c>
      <c r="K39" s="13" t="s">
        <v>203</v>
      </c>
    </row>
    <row r="40" ht="15.75" customHeight="1">
      <c r="A40" s="13" t="s">
        <v>484</v>
      </c>
      <c r="B40" s="13" t="s">
        <v>485</v>
      </c>
      <c r="C40" s="13" t="s">
        <v>109</v>
      </c>
      <c r="D40" s="13" t="s">
        <v>156</v>
      </c>
      <c r="E40" s="13" t="s">
        <v>200</v>
      </c>
      <c r="F40" s="13" t="s">
        <v>201</v>
      </c>
      <c r="G40" s="13"/>
      <c r="H40" s="13"/>
      <c r="I40" s="13" t="s">
        <v>202</v>
      </c>
      <c r="J40" s="13" t="s">
        <v>203</v>
      </c>
      <c r="K40" s="13" t="s">
        <v>203</v>
      </c>
    </row>
    <row r="41" ht="15.75" customHeight="1">
      <c r="A41" s="13" t="s">
        <v>496</v>
      </c>
      <c r="B41" s="13" t="s">
        <v>501</v>
      </c>
      <c r="C41" s="13" t="s">
        <v>109</v>
      </c>
      <c r="D41" s="13" t="s">
        <v>156</v>
      </c>
      <c r="E41" s="13" t="s">
        <v>200</v>
      </c>
      <c r="F41" s="13" t="s">
        <v>201</v>
      </c>
      <c r="G41" s="13"/>
      <c r="H41" s="13"/>
      <c r="I41" s="13" t="s">
        <v>202</v>
      </c>
      <c r="J41" s="13" t="s">
        <v>203</v>
      </c>
      <c r="K41" s="13" t="s">
        <v>203</v>
      </c>
    </row>
    <row r="42" ht="15.75" customHeight="1">
      <c r="A42" s="13" t="s">
        <v>517</v>
      </c>
      <c r="B42" s="13" t="s">
        <v>520</v>
      </c>
      <c r="C42" s="13" t="s">
        <v>109</v>
      </c>
      <c r="D42" s="13" t="s">
        <v>156</v>
      </c>
      <c r="E42" s="13" t="s">
        <v>200</v>
      </c>
      <c r="F42" s="13" t="s">
        <v>201</v>
      </c>
      <c r="G42" s="13"/>
      <c r="H42" s="13"/>
      <c r="I42" s="13" t="s">
        <v>202</v>
      </c>
      <c r="J42" s="13" t="s">
        <v>203</v>
      </c>
      <c r="K42" s="13" t="s">
        <v>203</v>
      </c>
    </row>
    <row r="43" ht="15.75" customHeight="1">
      <c r="A43" s="13" t="s">
        <v>546</v>
      </c>
      <c r="B43" s="13" t="s">
        <v>549</v>
      </c>
      <c r="C43" s="13" t="s">
        <v>109</v>
      </c>
      <c r="D43" s="13" t="s">
        <v>156</v>
      </c>
      <c r="E43" s="13" t="s">
        <v>200</v>
      </c>
      <c r="F43" s="13" t="s">
        <v>201</v>
      </c>
      <c r="G43" s="13"/>
      <c r="H43" s="13"/>
      <c r="I43" s="13" t="s">
        <v>202</v>
      </c>
      <c r="J43" s="13" t="s">
        <v>203</v>
      </c>
      <c r="K43" s="13" t="s">
        <v>203</v>
      </c>
    </row>
    <row r="44" ht="15.75" customHeight="1">
      <c r="A44" s="13" t="s">
        <v>571</v>
      </c>
      <c r="B44" s="13" t="s">
        <v>575</v>
      </c>
      <c r="C44" s="13" t="s">
        <v>109</v>
      </c>
      <c r="D44" s="13" t="s">
        <v>156</v>
      </c>
      <c r="E44" s="13" t="s">
        <v>200</v>
      </c>
      <c r="F44" s="13" t="s">
        <v>201</v>
      </c>
      <c r="G44" s="13"/>
      <c r="H44" s="13"/>
      <c r="I44" s="13" t="s">
        <v>202</v>
      </c>
      <c r="J44" s="13" t="s">
        <v>203</v>
      </c>
      <c r="K44" s="13" t="s">
        <v>203</v>
      </c>
    </row>
    <row r="45" ht="15.75" customHeight="1">
      <c r="A45" s="13" t="s">
        <v>597</v>
      </c>
      <c r="B45" s="13" t="s">
        <v>598</v>
      </c>
      <c r="C45" s="13" t="s">
        <v>109</v>
      </c>
      <c r="D45" s="13" t="s">
        <v>156</v>
      </c>
      <c r="E45" s="13" t="s">
        <v>200</v>
      </c>
      <c r="F45" s="13" t="s">
        <v>201</v>
      </c>
      <c r="G45" s="13"/>
      <c r="H45" s="13"/>
      <c r="I45" s="13" t="s">
        <v>202</v>
      </c>
      <c r="J45" s="13" t="s">
        <v>203</v>
      </c>
      <c r="K45" s="13" t="s">
        <v>203</v>
      </c>
    </row>
    <row r="46" ht="15.75" customHeight="1">
      <c r="A46" s="13" t="s">
        <v>608</v>
      </c>
      <c r="B46" s="13" t="s">
        <v>611</v>
      </c>
      <c r="C46" s="13" t="s">
        <v>109</v>
      </c>
      <c r="D46" s="13" t="s">
        <v>156</v>
      </c>
      <c r="E46" s="13" t="s">
        <v>200</v>
      </c>
      <c r="F46" s="13" t="s">
        <v>201</v>
      </c>
      <c r="G46" s="13"/>
      <c r="H46" s="13"/>
      <c r="I46" s="13" t="s">
        <v>202</v>
      </c>
      <c r="J46" s="13" t="s">
        <v>203</v>
      </c>
      <c r="K46" s="13" t="s">
        <v>203</v>
      </c>
    </row>
    <row r="47" ht="15.75" customHeight="1">
      <c r="A47" s="13" t="s">
        <v>626</v>
      </c>
      <c r="B47" s="13" t="s">
        <v>627</v>
      </c>
      <c r="C47" s="13" t="s">
        <v>109</v>
      </c>
      <c r="D47" s="13" t="s">
        <v>156</v>
      </c>
      <c r="E47" s="13" t="s">
        <v>200</v>
      </c>
      <c r="F47" s="13" t="s">
        <v>201</v>
      </c>
      <c r="G47" s="13"/>
      <c r="H47" s="13"/>
      <c r="I47" s="13" t="s">
        <v>202</v>
      </c>
      <c r="J47" s="13" t="s">
        <v>203</v>
      </c>
      <c r="K47" s="13" t="s">
        <v>203</v>
      </c>
    </row>
    <row r="48" ht="15.75" customHeight="1">
      <c r="A48" s="13" t="s">
        <v>630</v>
      </c>
      <c r="B48" s="13" t="s">
        <v>632</v>
      </c>
      <c r="C48" s="13" t="s">
        <v>109</v>
      </c>
      <c r="D48" s="13" t="s">
        <v>156</v>
      </c>
      <c r="E48" s="13" t="s">
        <v>200</v>
      </c>
      <c r="F48" s="13" t="s">
        <v>201</v>
      </c>
      <c r="G48" s="13"/>
      <c r="H48" s="13"/>
      <c r="I48" s="13" t="s">
        <v>202</v>
      </c>
      <c r="J48" s="13" t="s">
        <v>203</v>
      </c>
      <c r="K48" s="13" t="s">
        <v>203</v>
      </c>
    </row>
    <row r="49" ht="15.75" customHeight="1">
      <c r="A49" s="13" t="s">
        <v>637</v>
      </c>
      <c r="B49" s="13" t="s">
        <v>638</v>
      </c>
      <c r="C49" s="13" t="s">
        <v>109</v>
      </c>
      <c r="D49" s="13" t="s">
        <v>156</v>
      </c>
      <c r="E49" s="13" t="s">
        <v>200</v>
      </c>
      <c r="F49" s="13" t="s">
        <v>201</v>
      </c>
      <c r="G49" s="13"/>
      <c r="H49" s="13"/>
      <c r="I49" s="13" t="s">
        <v>202</v>
      </c>
      <c r="J49" s="13" t="s">
        <v>203</v>
      </c>
      <c r="K49" s="13" t="s">
        <v>203</v>
      </c>
    </row>
    <row r="50" ht="15.75" customHeight="1">
      <c r="A50" s="13" t="s">
        <v>647</v>
      </c>
      <c r="B50" s="13" t="s">
        <v>649</v>
      </c>
      <c r="C50" s="13" t="s">
        <v>109</v>
      </c>
      <c r="D50" s="13" t="s">
        <v>156</v>
      </c>
      <c r="E50" s="13" t="s">
        <v>200</v>
      </c>
      <c r="F50" s="13" t="s">
        <v>201</v>
      </c>
      <c r="G50" s="13"/>
      <c r="H50" s="13"/>
      <c r="I50" s="13" t="s">
        <v>202</v>
      </c>
      <c r="J50" s="13" t="s">
        <v>203</v>
      </c>
      <c r="K50" s="13" t="s">
        <v>203</v>
      </c>
    </row>
    <row r="51" ht="15.75" customHeight="1">
      <c r="A51" s="13" t="s">
        <v>655</v>
      </c>
      <c r="B51" s="13" t="s">
        <v>657</v>
      </c>
      <c r="C51" s="13" t="s">
        <v>109</v>
      </c>
      <c r="D51" s="13" t="s">
        <v>156</v>
      </c>
      <c r="E51" s="13" t="s">
        <v>200</v>
      </c>
      <c r="F51" s="13" t="s">
        <v>201</v>
      </c>
      <c r="G51" s="13"/>
      <c r="H51" s="13"/>
      <c r="I51" s="13" t="s">
        <v>202</v>
      </c>
      <c r="J51" s="13" t="s">
        <v>203</v>
      </c>
      <c r="K51" s="13" t="s">
        <v>203</v>
      </c>
    </row>
    <row r="52" ht="15.75" customHeight="1">
      <c r="A52" s="13" t="s">
        <v>666</v>
      </c>
      <c r="B52" s="13" t="s">
        <v>667</v>
      </c>
      <c r="C52" s="13" t="s">
        <v>109</v>
      </c>
      <c r="D52" s="13" t="s">
        <v>156</v>
      </c>
      <c r="E52" s="13" t="s">
        <v>200</v>
      </c>
      <c r="F52" s="13" t="s">
        <v>201</v>
      </c>
      <c r="G52" s="13"/>
      <c r="H52" s="13"/>
      <c r="I52" s="13" t="s">
        <v>202</v>
      </c>
      <c r="J52" s="13" t="s">
        <v>203</v>
      </c>
      <c r="K52" s="13" t="s">
        <v>203</v>
      </c>
    </row>
    <row r="53" ht="15.75" customHeight="1">
      <c r="A53" s="13" t="s">
        <v>675</v>
      </c>
      <c r="B53" s="13" t="s">
        <v>677</v>
      </c>
      <c r="C53" s="13" t="s">
        <v>109</v>
      </c>
      <c r="D53" s="13" t="s">
        <v>156</v>
      </c>
      <c r="E53" s="13" t="s">
        <v>200</v>
      </c>
      <c r="F53" s="13" t="s">
        <v>201</v>
      </c>
      <c r="G53" s="13"/>
      <c r="H53" s="13"/>
      <c r="I53" s="13" t="s">
        <v>202</v>
      </c>
      <c r="J53" s="13" t="s">
        <v>203</v>
      </c>
      <c r="K53" s="13" t="s">
        <v>203</v>
      </c>
    </row>
    <row r="54" ht="15.75" customHeight="1">
      <c r="A54" s="13" t="s">
        <v>691</v>
      </c>
      <c r="B54" s="13" t="s">
        <v>693</v>
      </c>
      <c r="C54" s="13" t="s">
        <v>109</v>
      </c>
      <c r="D54" s="13" t="s">
        <v>156</v>
      </c>
      <c r="E54" s="13" t="s">
        <v>200</v>
      </c>
      <c r="F54" s="13" t="s">
        <v>201</v>
      </c>
      <c r="G54" s="13"/>
      <c r="H54" s="13"/>
      <c r="I54" s="13" t="s">
        <v>202</v>
      </c>
      <c r="J54" s="13" t="s">
        <v>203</v>
      </c>
      <c r="K54" s="13" t="s">
        <v>203</v>
      </c>
    </row>
    <row r="55" ht="15.75" customHeight="1">
      <c r="A55" s="13" t="s">
        <v>704</v>
      </c>
      <c r="B55" s="13" t="s">
        <v>706</v>
      </c>
      <c r="C55" s="13" t="s">
        <v>109</v>
      </c>
      <c r="D55" s="13" t="s">
        <v>156</v>
      </c>
      <c r="E55" s="13" t="s">
        <v>200</v>
      </c>
      <c r="F55" s="13" t="s">
        <v>201</v>
      </c>
      <c r="G55" s="13"/>
      <c r="H55" s="13"/>
      <c r="I55" s="13" t="s">
        <v>202</v>
      </c>
      <c r="J55" s="13" t="s">
        <v>203</v>
      </c>
      <c r="K55" s="13" t="s">
        <v>203</v>
      </c>
    </row>
    <row r="56" ht="15.75" customHeight="1">
      <c r="A56" s="13" t="s">
        <v>718</v>
      </c>
      <c r="B56" s="13" t="s">
        <v>720</v>
      </c>
      <c r="C56" s="13" t="s">
        <v>109</v>
      </c>
      <c r="D56" s="13" t="s">
        <v>156</v>
      </c>
      <c r="E56" s="13" t="s">
        <v>200</v>
      </c>
      <c r="F56" s="13" t="s">
        <v>201</v>
      </c>
      <c r="G56" s="13"/>
      <c r="H56" s="13"/>
      <c r="I56" s="13" t="s">
        <v>202</v>
      </c>
      <c r="J56" s="13" t="s">
        <v>203</v>
      </c>
      <c r="K56" s="13" t="s">
        <v>203</v>
      </c>
    </row>
    <row r="57" ht="15.75" customHeight="1">
      <c r="A57" s="13" t="s">
        <v>730</v>
      </c>
      <c r="B57" s="13" t="s">
        <v>734</v>
      </c>
      <c r="C57" s="13" t="s">
        <v>109</v>
      </c>
      <c r="D57" s="13" t="s">
        <v>156</v>
      </c>
      <c r="E57" s="13" t="s">
        <v>200</v>
      </c>
      <c r="F57" s="13" t="s">
        <v>201</v>
      </c>
      <c r="G57" s="13"/>
      <c r="H57" s="13"/>
      <c r="I57" s="13" t="s">
        <v>202</v>
      </c>
      <c r="J57" s="13" t="s">
        <v>203</v>
      </c>
      <c r="K57" s="13" t="s">
        <v>203</v>
      </c>
    </row>
    <row r="58" ht="15.75" customHeight="1">
      <c r="A58" s="13" t="s">
        <v>741</v>
      </c>
      <c r="B58" s="13" t="s">
        <v>744</v>
      </c>
      <c r="C58" s="13" t="s">
        <v>109</v>
      </c>
      <c r="D58" s="13" t="s">
        <v>156</v>
      </c>
      <c r="E58" s="13" t="s">
        <v>200</v>
      </c>
      <c r="F58" s="13" t="s">
        <v>201</v>
      </c>
      <c r="G58" s="13"/>
      <c r="H58" s="13"/>
      <c r="I58" s="13" t="s">
        <v>202</v>
      </c>
      <c r="J58" s="13" t="s">
        <v>203</v>
      </c>
      <c r="K58" s="13" t="s">
        <v>203</v>
      </c>
    </row>
    <row r="59" ht="15.75" customHeight="1">
      <c r="A59" s="13" t="s">
        <v>751</v>
      </c>
      <c r="B59" s="13" t="s">
        <v>754</v>
      </c>
      <c r="C59" s="13" t="s">
        <v>109</v>
      </c>
      <c r="D59" s="13" t="s">
        <v>156</v>
      </c>
      <c r="E59" s="13" t="s">
        <v>200</v>
      </c>
      <c r="F59" s="13" t="s">
        <v>201</v>
      </c>
      <c r="G59" s="13"/>
      <c r="H59" s="13"/>
      <c r="I59" s="13" t="s">
        <v>202</v>
      </c>
      <c r="J59" s="13" t="s">
        <v>203</v>
      </c>
      <c r="K59" s="13" t="s">
        <v>203</v>
      </c>
    </row>
    <row r="60" ht="15.75" customHeight="1">
      <c r="A60" s="13" t="s">
        <v>766</v>
      </c>
      <c r="B60" s="13" t="s">
        <v>767</v>
      </c>
      <c r="C60" s="13" t="s">
        <v>109</v>
      </c>
      <c r="D60" s="13" t="s">
        <v>156</v>
      </c>
      <c r="E60" s="13" t="s">
        <v>200</v>
      </c>
      <c r="F60" s="13" t="s">
        <v>201</v>
      </c>
      <c r="G60" s="13"/>
      <c r="H60" s="13"/>
      <c r="I60" s="13" t="s">
        <v>202</v>
      </c>
      <c r="J60" s="13" t="s">
        <v>203</v>
      </c>
      <c r="K60" s="13" t="s">
        <v>203</v>
      </c>
    </row>
    <row r="61" ht="15.75" customHeight="1">
      <c r="A61" s="13" t="s">
        <v>774</v>
      </c>
      <c r="B61" s="13" t="s">
        <v>778</v>
      </c>
      <c r="C61" s="13" t="s">
        <v>109</v>
      </c>
      <c r="D61" s="13" t="s">
        <v>156</v>
      </c>
      <c r="E61" s="13" t="s">
        <v>200</v>
      </c>
      <c r="F61" s="13" t="s">
        <v>201</v>
      </c>
      <c r="G61" s="13"/>
      <c r="H61" s="13"/>
      <c r="I61" s="13" t="s">
        <v>202</v>
      </c>
      <c r="J61" s="13" t="s">
        <v>203</v>
      </c>
      <c r="K61" s="13" t="s">
        <v>203</v>
      </c>
    </row>
    <row r="62" ht="15.75" customHeight="1">
      <c r="A62" s="13" t="s">
        <v>788</v>
      </c>
      <c r="B62" s="13" t="s">
        <v>791</v>
      </c>
      <c r="C62" s="13" t="s">
        <v>109</v>
      </c>
      <c r="D62" s="13" t="s">
        <v>156</v>
      </c>
      <c r="E62" s="13" t="s">
        <v>200</v>
      </c>
      <c r="F62" s="13" t="s">
        <v>201</v>
      </c>
      <c r="G62" s="13"/>
      <c r="H62" s="13"/>
      <c r="I62" s="13" t="s">
        <v>202</v>
      </c>
      <c r="J62" s="13" t="s">
        <v>203</v>
      </c>
      <c r="K62" s="13" t="s">
        <v>203</v>
      </c>
    </row>
    <row r="63" ht="15.75" customHeight="1">
      <c r="A63" s="13" t="s">
        <v>800</v>
      </c>
      <c r="B63" s="13" t="s">
        <v>802</v>
      </c>
      <c r="C63" s="13" t="s">
        <v>109</v>
      </c>
      <c r="D63" s="13" t="s">
        <v>156</v>
      </c>
      <c r="E63" s="13" t="s">
        <v>200</v>
      </c>
      <c r="F63" s="13" t="s">
        <v>201</v>
      </c>
      <c r="G63" s="13"/>
      <c r="H63" s="13"/>
      <c r="I63" s="13" t="s">
        <v>202</v>
      </c>
      <c r="J63" s="13" t="s">
        <v>203</v>
      </c>
      <c r="K63" s="13" t="s">
        <v>203</v>
      </c>
    </row>
    <row r="64" ht="15.75" customHeight="1">
      <c r="A64" s="13" t="s">
        <v>807</v>
      </c>
      <c r="B64" s="13" t="s">
        <v>809</v>
      </c>
      <c r="C64" s="13" t="s">
        <v>109</v>
      </c>
      <c r="D64" s="13" t="s">
        <v>156</v>
      </c>
      <c r="E64" s="13" t="s">
        <v>200</v>
      </c>
      <c r="F64" s="13" t="s">
        <v>201</v>
      </c>
      <c r="G64" s="13"/>
      <c r="H64" s="13"/>
      <c r="I64" s="13" t="s">
        <v>202</v>
      </c>
      <c r="J64" s="13" t="s">
        <v>203</v>
      </c>
      <c r="K64" s="13" t="s">
        <v>203</v>
      </c>
    </row>
    <row r="65" ht="15.75" customHeight="1">
      <c r="A65" s="13" t="s">
        <v>812</v>
      </c>
      <c r="B65" s="13" t="s">
        <v>814</v>
      </c>
      <c r="C65" s="13" t="s">
        <v>109</v>
      </c>
      <c r="D65" s="13" t="s">
        <v>156</v>
      </c>
      <c r="E65" s="13" t="s">
        <v>200</v>
      </c>
      <c r="F65" s="13" t="s">
        <v>201</v>
      </c>
      <c r="G65" s="13"/>
      <c r="H65" s="13"/>
      <c r="I65" s="13" t="s">
        <v>202</v>
      </c>
      <c r="J65" s="13" t="s">
        <v>203</v>
      </c>
      <c r="K65" s="13" t="s">
        <v>203</v>
      </c>
    </row>
    <row r="66" ht="15.75" customHeight="1">
      <c r="A66" s="13" t="s">
        <v>820</v>
      </c>
      <c r="B66" s="13" t="s">
        <v>822</v>
      </c>
      <c r="C66" s="13" t="s">
        <v>109</v>
      </c>
      <c r="D66" s="13" t="s">
        <v>156</v>
      </c>
      <c r="E66" s="13" t="s">
        <v>200</v>
      </c>
      <c r="F66" s="13" t="s">
        <v>201</v>
      </c>
      <c r="G66" s="13"/>
      <c r="H66" s="13"/>
      <c r="I66" s="13" t="s">
        <v>202</v>
      </c>
      <c r="J66" s="13" t="s">
        <v>203</v>
      </c>
      <c r="K66" s="13" t="s">
        <v>203</v>
      </c>
    </row>
    <row r="67" ht="15.75" customHeight="1">
      <c r="A67" s="13" t="s">
        <v>831</v>
      </c>
      <c r="B67" s="13" t="s">
        <v>833</v>
      </c>
      <c r="C67" s="13" t="s">
        <v>109</v>
      </c>
      <c r="D67" s="13" t="s">
        <v>156</v>
      </c>
      <c r="E67" s="13" t="s">
        <v>200</v>
      </c>
      <c r="F67" s="13" t="s">
        <v>201</v>
      </c>
      <c r="G67" s="13"/>
      <c r="H67" s="13"/>
      <c r="I67" s="13" t="s">
        <v>202</v>
      </c>
      <c r="J67" s="13" t="s">
        <v>203</v>
      </c>
      <c r="K67" s="13" t="s">
        <v>203</v>
      </c>
    </row>
    <row r="68" ht="15.75" customHeight="1">
      <c r="A68" s="13" t="s">
        <v>836</v>
      </c>
      <c r="B68" s="13" t="s">
        <v>837</v>
      </c>
      <c r="C68" s="13" t="s">
        <v>109</v>
      </c>
      <c r="D68" s="13" t="s">
        <v>156</v>
      </c>
      <c r="E68" s="13" t="s">
        <v>200</v>
      </c>
      <c r="F68" s="13" t="s">
        <v>201</v>
      </c>
      <c r="G68" s="13"/>
      <c r="H68" s="13"/>
      <c r="I68" s="13" t="s">
        <v>202</v>
      </c>
      <c r="J68" s="13" t="s">
        <v>203</v>
      </c>
      <c r="K68" s="13" t="s">
        <v>203</v>
      </c>
    </row>
    <row r="69" ht="15.75" customHeight="1">
      <c r="A69" s="13" t="s">
        <v>848</v>
      </c>
      <c r="B69" s="13" t="s">
        <v>849</v>
      </c>
      <c r="C69" s="13" t="s">
        <v>109</v>
      </c>
      <c r="D69" s="13" t="s">
        <v>156</v>
      </c>
      <c r="E69" s="13" t="s">
        <v>200</v>
      </c>
      <c r="F69" s="13" t="s">
        <v>201</v>
      </c>
      <c r="G69" s="13"/>
      <c r="H69" s="13"/>
      <c r="I69" s="13" t="s">
        <v>202</v>
      </c>
      <c r="J69" s="13" t="s">
        <v>203</v>
      </c>
      <c r="K69" s="13" t="s">
        <v>203</v>
      </c>
    </row>
    <row r="70" ht="15.75" customHeight="1">
      <c r="A70" s="13" t="s">
        <v>850</v>
      </c>
      <c r="B70" s="13" t="s">
        <v>851</v>
      </c>
      <c r="C70" s="13" t="s">
        <v>109</v>
      </c>
      <c r="D70" s="13" t="s">
        <v>156</v>
      </c>
      <c r="E70" s="13" t="s">
        <v>200</v>
      </c>
      <c r="F70" s="13" t="s">
        <v>201</v>
      </c>
      <c r="G70" s="13"/>
      <c r="H70" s="13"/>
      <c r="I70" s="13" t="s">
        <v>202</v>
      </c>
      <c r="J70" s="13" t="s">
        <v>203</v>
      </c>
      <c r="K70" s="13" t="s">
        <v>203</v>
      </c>
    </row>
    <row r="71" ht="15.75" customHeight="1">
      <c r="A71" s="13" t="s">
        <v>864</v>
      </c>
      <c r="B71" s="13" t="s">
        <v>866</v>
      </c>
      <c r="C71" s="13" t="s">
        <v>109</v>
      </c>
      <c r="D71" s="13" t="s">
        <v>156</v>
      </c>
      <c r="E71" s="13" t="s">
        <v>200</v>
      </c>
      <c r="F71" s="13" t="s">
        <v>201</v>
      </c>
      <c r="G71" s="13"/>
      <c r="H71" s="13"/>
      <c r="I71" s="13" t="s">
        <v>202</v>
      </c>
      <c r="J71" s="13" t="s">
        <v>203</v>
      </c>
      <c r="K71" s="13" t="s">
        <v>203</v>
      </c>
    </row>
    <row r="72" ht="15.75" customHeight="1">
      <c r="A72" s="13" t="s">
        <v>868</v>
      </c>
      <c r="B72" s="13" t="s">
        <v>869</v>
      </c>
      <c r="C72" s="13" t="s">
        <v>109</v>
      </c>
      <c r="D72" s="13" t="s">
        <v>156</v>
      </c>
      <c r="E72" s="13" t="s">
        <v>200</v>
      </c>
      <c r="F72" s="13" t="s">
        <v>201</v>
      </c>
      <c r="G72" s="13"/>
      <c r="H72" s="13"/>
      <c r="I72" s="13" t="s">
        <v>202</v>
      </c>
      <c r="J72" s="13" t="s">
        <v>203</v>
      </c>
      <c r="K72" s="13" t="s">
        <v>203</v>
      </c>
    </row>
    <row r="73" ht="15.75" customHeight="1">
      <c r="A73" s="13" t="s">
        <v>881</v>
      </c>
      <c r="B73" s="13" t="s">
        <v>883</v>
      </c>
      <c r="C73" s="13" t="s">
        <v>109</v>
      </c>
      <c r="D73" s="13" t="s">
        <v>156</v>
      </c>
      <c r="E73" s="13" t="s">
        <v>200</v>
      </c>
      <c r="F73" s="13" t="s">
        <v>201</v>
      </c>
      <c r="G73" s="13"/>
      <c r="H73" s="13"/>
      <c r="I73" s="13" t="s">
        <v>202</v>
      </c>
      <c r="J73" s="13" t="s">
        <v>203</v>
      </c>
      <c r="K73" s="13" t="s">
        <v>203</v>
      </c>
    </row>
    <row r="74" ht="15.75" customHeight="1">
      <c r="A74" s="13" t="s">
        <v>885</v>
      </c>
      <c r="B74" s="13" t="s">
        <v>887</v>
      </c>
      <c r="C74" s="13" t="s">
        <v>109</v>
      </c>
      <c r="D74" s="13" t="s">
        <v>156</v>
      </c>
      <c r="E74" s="13" t="s">
        <v>200</v>
      </c>
      <c r="F74" s="13" t="s">
        <v>201</v>
      </c>
      <c r="G74" s="13"/>
      <c r="H74" s="13"/>
      <c r="I74" s="13" t="s">
        <v>202</v>
      </c>
      <c r="J74" s="13" t="s">
        <v>203</v>
      </c>
      <c r="K74" s="13" t="s">
        <v>203</v>
      </c>
    </row>
    <row r="75" ht="15.75" customHeight="1">
      <c r="A75" s="13" t="s">
        <v>898</v>
      </c>
      <c r="B75" s="13" t="s">
        <v>899</v>
      </c>
      <c r="C75" s="13" t="s">
        <v>109</v>
      </c>
      <c r="D75" s="13" t="s">
        <v>156</v>
      </c>
      <c r="E75" s="13" t="s">
        <v>200</v>
      </c>
      <c r="F75" s="13" t="s">
        <v>201</v>
      </c>
      <c r="G75" s="13"/>
      <c r="H75" s="13"/>
      <c r="I75" s="13" t="s">
        <v>202</v>
      </c>
      <c r="J75" s="13" t="s">
        <v>203</v>
      </c>
      <c r="K75" s="13" t="s">
        <v>203</v>
      </c>
    </row>
    <row r="76" ht="15.75" customHeight="1">
      <c r="A76" s="13" t="s">
        <v>910</v>
      </c>
      <c r="B76" s="13" t="s">
        <v>912</v>
      </c>
      <c r="C76" s="13" t="s">
        <v>109</v>
      </c>
      <c r="D76" s="13" t="s">
        <v>156</v>
      </c>
      <c r="E76" s="13" t="s">
        <v>200</v>
      </c>
      <c r="F76" s="13" t="s">
        <v>201</v>
      </c>
      <c r="G76" s="13"/>
      <c r="H76" s="13"/>
      <c r="I76" s="13" t="s">
        <v>202</v>
      </c>
      <c r="J76" s="13" t="s">
        <v>203</v>
      </c>
      <c r="K76" s="13" t="s">
        <v>203</v>
      </c>
    </row>
    <row r="77" ht="15.75" customHeight="1">
      <c r="A77" s="13" t="s">
        <v>919</v>
      </c>
      <c r="B77" s="13" t="s">
        <v>920</v>
      </c>
      <c r="C77" s="13" t="s">
        <v>109</v>
      </c>
      <c r="D77" s="13" t="s">
        <v>156</v>
      </c>
      <c r="E77" s="13" t="s">
        <v>200</v>
      </c>
      <c r="F77" s="13" t="s">
        <v>201</v>
      </c>
      <c r="G77" s="13"/>
      <c r="H77" s="13"/>
      <c r="I77" s="13" t="s">
        <v>202</v>
      </c>
      <c r="J77" s="13" t="s">
        <v>203</v>
      </c>
      <c r="K77" s="13" t="s">
        <v>203</v>
      </c>
    </row>
    <row r="78" ht="15.75" customHeight="1">
      <c r="A78" s="13" t="s">
        <v>930</v>
      </c>
      <c r="B78" s="13" t="s">
        <v>931</v>
      </c>
      <c r="C78" s="13" t="s">
        <v>109</v>
      </c>
      <c r="D78" s="13" t="s">
        <v>156</v>
      </c>
      <c r="E78" s="13" t="s">
        <v>200</v>
      </c>
      <c r="F78" s="13" t="s">
        <v>201</v>
      </c>
      <c r="G78" s="13"/>
      <c r="H78" s="13"/>
      <c r="I78" s="13" t="s">
        <v>202</v>
      </c>
      <c r="J78" s="13" t="s">
        <v>203</v>
      </c>
      <c r="K78" s="13" t="s">
        <v>203</v>
      </c>
    </row>
    <row r="79" ht="15.75" customHeight="1">
      <c r="A79" s="13" t="s">
        <v>937</v>
      </c>
      <c r="B79" s="13" t="s">
        <v>939</v>
      </c>
      <c r="C79" s="13" t="s">
        <v>109</v>
      </c>
      <c r="D79" s="13" t="s">
        <v>156</v>
      </c>
      <c r="E79" s="13" t="s">
        <v>200</v>
      </c>
      <c r="F79" s="13" t="s">
        <v>201</v>
      </c>
      <c r="G79" s="13"/>
      <c r="H79" s="13"/>
      <c r="I79" s="13" t="s">
        <v>202</v>
      </c>
      <c r="J79" s="13" t="s">
        <v>203</v>
      </c>
      <c r="K79" s="13" t="s">
        <v>203</v>
      </c>
    </row>
    <row r="80" ht="15.75" customHeight="1">
      <c r="A80" s="13" t="s">
        <v>950</v>
      </c>
      <c r="B80" s="13" t="s">
        <v>952</v>
      </c>
      <c r="C80" s="13" t="s">
        <v>109</v>
      </c>
      <c r="D80" s="13" t="s">
        <v>156</v>
      </c>
      <c r="E80" s="13" t="s">
        <v>200</v>
      </c>
      <c r="F80" s="13" t="s">
        <v>201</v>
      </c>
      <c r="G80" s="13"/>
      <c r="H80" s="13"/>
      <c r="I80" s="13" t="s">
        <v>202</v>
      </c>
      <c r="J80" s="13" t="s">
        <v>203</v>
      </c>
      <c r="K80" s="13" t="s">
        <v>203</v>
      </c>
    </row>
    <row r="81" ht="15.75" customHeight="1">
      <c r="A81" s="13" t="s">
        <v>962</v>
      </c>
      <c r="B81" s="13" t="s">
        <v>965</v>
      </c>
      <c r="C81" s="13" t="s">
        <v>109</v>
      </c>
      <c r="D81" s="13" t="s">
        <v>156</v>
      </c>
      <c r="E81" s="13" t="s">
        <v>200</v>
      </c>
      <c r="F81" s="13" t="s">
        <v>201</v>
      </c>
      <c r="G81" s="13"/>
      <c r="H81" s="13"/>
      <c r="I81" s="13" t="s">
        <v>202</v>
      </c>
      <c r="J81" s="13" t="s">
        <v>203</v>
      </c>
      <c r="K81" s="13" t="s">
        <v>203</v>
      </c>
    </row>
    <row r="82" ht="15.75" customHeight="1">
      <c r="A82" s="13" t="s">
        <v>971</v>
      </c>
      <c r="B82" s="13" t="s">
        <v>974</v>
      </c>
      <c r="C82" s="13" t="s">
        <v>109</v>
      </c>
      <c r="D82" s="13" t="s">
        <v>156</v>
      </c>
      <c r="E82" s="13" t="s">
        <v>200</v>
      </c>
      <c r="F82" s="13" t="s">
        <v>201</v>
      </c>
      <c r="G82" s="13"/>
      <c r="H82" s="13"/>
      <c r="I82" s="13" t="s">
        <v>202</v>
      </c>
      <c r="J82" s="13" t="s">
        <v>203</v>
      </c>
      <c r="K82" s="13" t="s">
        <v>203</v>
      </c>
    </row>
    <row r="83" ht="15.75" customHeight="1">
      <c r="A83" s="13" t="s">
        <v>981</v>
      </c>
      <c r="B83" s="13" t="s">
        <v>983</v>
      </c>
      <c r="C83" s="13" t="s">
        <v>109</v>
      </c>
      <c r="D83" s="13" t="s">
        <v>156</v>
      </c>
      <c r="E83" s="13" t="s">
        <v>200</v>
      </c>
      <c r="F83" s="13" t="s">
        <v>201</v>
      </c>
      <c r="G83" s="13"/>
      <c r="H83" s="13"/>
      <c r="I83" s="13" t="s">
        <v>202</v>
      </c>
      <c r="J83" s="13" t="s">
        <v>203</v>
      </c>
      <c r="K83" s="13" t="s">
        <v>203</v>
      </c>
    </row>
    <row r="84" ht="15.75" customHeight="1">
      <c r="A84" s="13" t="s">
        <v>990</v>
      </c>
      <c r="B84" s="13" t="s">
        <v>992</v>
      </c>
      <c r="C84" s="13" t="s">
        <v>109</v>
      </c>
      <c r="D84" s="13" t="s">
        <v>156</v>
      </c>
      <c r="E84" s="13" t="s">
        <v>200</v>
      </c>
      <c r="F84" s="13" t="s">
        <v>201</v>
      </c>
      <c r="G84" s="13"/>
      <c r="H84" s="13"/>
      <c r="I84" s="13" t="s">
        <v>202</v>
      </c>
      <c r="J84" s="13" t="s">
        <v>203</v>
      </c>
      <c r="K84" s="13" t="s">
        <v>203</v>
      </c>
    </row>
    <row r="85" ht="15.75" customHeight="1">
      <c r="A85" s="13" t="s">
        <v>998</v>
      </c>
      <c r="B85" s="13" t="s">
        <v>1000</v>
      </c>
      <c r="C85" s="13" t="s">
        <v>109</v>
      </c>
      <c r="D85" s="13" t="s">
        <v>156</v>
      </c>
      <c r="E85" s="13" t="s">
        <v>200</v>
      </c>
      <c r="F85" s="13" t="s">
        <v>201</v>
      </c>
      <c r="G85" s="13"/>
      <c r="H85" s="13"/>
      <c r="I85" s="13" t="s">
        <v>202</v>
      </c>
      <c r="J85" s="13" t="s">
        <v>203</v>
      </c>
      <c r="K85" s="13" t="s">
        <v>203</v>
      </c>
    </row>
    <row r="86" ht="15.75" customHeight="1">
      <c r="A86" s="13" t="s">
        <v>1011</v>
      </c>
      <c r="B86" s="13" t="s">
        <v>1013</v>
      </c>
      <c r="C86" s="13" t="s">
        <v>109</v>
      </c>
      <c r="D86" s="13" t="s">
        <v>156</v>
      </c>
      <c r="E86" s="13" t="s">
        <v>200</v>
      </c>
      <c r="F86" s="13" t="s">
        <v>201</v>
      </c>
      <c r="G86" s="13"/>
      <c r="H86" s="13"/>
      <c r="I86" s="13" t="s">
        <v>202</v>
      </c>
      <c r="J86" s="13" t="s">
        <v>203</v>
      </c>
      <c r="K86" s="13" t="s">
        <v>203</v>
      </c>
    </row>
    <row r="87" ht="15.75" customHeight="1">
      <c r="A87" s="13" t="s">
        <v>1023</v>
      </c>
      <c r="B87" s="13" t="s">
        <v>1025</v>
      </c>
      <c r="C87" s="13" t="s">
        <v>109</v>
      </c>
      <c r="D87" s="13" t="s">
        <v>156</v>
      </c>
      <c r="E87" s="13" t="s">
        <v>200</v>
      </c>
      <c r="F87" s="13" t="s">
        <v>201</v>
      </c>
      <c r="G87" s="13"/>
      <c r="H87" s="13"/>
      <c r="I87" s="13" t="s">
        <v>202</v>
      </c>
      <c r="J87" s="13" t="s">
        <v>203</v>
      </c>
      <c r="K87" s="13" t="s">
        <v>203</v>
      </c>
    </row>
    <row r="88" ht="15.75" customHeight="1">
      <c r="A88" s="13" t="s">
        <v>1031</v>
      </c>
      <c r="B88" s="13" t="s">
        <v>1033</v>
      </c>
      <c r="C88" s="13" t="s">
        <v>109</v>
      </c>
      <c r="D88" s="13" t="s">
        <v>156</v>
      </c>
      <c r="E88" s="13" t="s">
        <v>200</v>
      </c>
      <c r="F88" s="13" t="s">
        <v>201</v>
      </c>
      <c r="G88" s="13"/>
      <c r="H88" s="13"/>
      <c r="I88" s="13" t="s">
        <v>202</v>
      </c>
      <c r="J88" s="13" t="s">
        <v>203</v>
      </c>
      <c r="K88" s="13" t="s">
        <v>203</v>
      </c>
    </row>
    <row r="89" ht="15.75" customHeight="1">
      <c r="A89" s="13" t="s">
        <v>1045</v>
      </c>
      <c r="B89" s="13" t="s">
        <v>1046</v>
      </c>
      <c r="C89" s="13" t="s">
        <v>109</v>
      </c>
      <c r="D89" s="13" t="s">
        <v>156</v>
      </c>
      <c r="E89" s="13" t="s">
        <v>200</v>
      </c>
      <c r="F89" s="13" t="s">
        <v>201</v>
      </c>
      <c r="G89" s="13"/>
      <c r="H89" s="13"/>
      <c r="I89" s="13" t="s">
        <v>202</v>
      </c>
      <c r="J89" s="13" t="s">
        <v>203</v>
      </c>
      <c r="K89" s="13" t="s">
        <v>203</v>
      </c>
    </row>
    <row r="90" ht="15.75" customHeight="1">
      <c r="A90" s="13" t="s">
        <v>1051</v>
      </c>
      <c r="B90" s="13" t="s">
        <v>1056</v>
      </c>
      <c r="C90" s="13" t="s">
        <v>109</v>
      </c>
      <c r="D90" s="13" t="s">
        <v>156</v>
      </c>
      <c r="E90" s="13" t="s">
        <v>200</v>
      </c>
      <c r="F90" s="13" t="s">
        <v>201</v>
      </c>
      <c r="G90" s="13"/>
      <c r="H90" s="13"/>
      <c r="I90" s="13" t="s">
        <v>202</v>
      </c>
      <c r="J90" s="13" t="s">
        <v>203</v>
      </c>
      <c r="K90" s="13" t="s">
        <v>203</v>
      </c>
    </row>
    <row r="91" ht="15.75" customHeight="1">
      <c r="A91" s="13" t="s">
        <v>1065</v>
      </c>
      <c r="B91" s="13" t="s">
        <v>1067</v>
      </c>
      <c r="C91" s="13" t="s">
        <v>109</v>
      </c>
      <c r="D91" s="13" t="s">
        <v>156</v>
      </c>
      <c r="E91" s="13" t="s">
        <v>1070</v>
      </c>
      <c r="F91" s="13">
        <v>30.0</v>
      </c>
      <c r="G91" s="13" t="s">
        <v>1071</v>
      </c>
      <c r="H91" s="13" t="s">
        <v>1072</v>
      </c>
      <c r="I91" s="13" t="s">
        <v>1073</v>
      </c>
      <c r="J91" s="13" t="s">
        <v>1074</v>
      </c>
      <c r="K91" s="13" t="s">
        <v>203</v>
      </c>
    </row>
    <row r="92" ht="15.75" customHeight="1">
      <c r="A92" s="13" t="s">
        <v>1077</v>
      </c>
      <c r="B92" s="13" t="s">
        <v>1079</v>
      </c>
      <c r="C92" s="13" t="s">
        <v>109</v>
      </c>
      <c r="D92" s="13" t="s">
        <v>156</v>
      </c>
      <c r="E92" s="13" t="s">
        <v>1070</v>
      </c>
      <c r="F92" s="13">
        <v>30.0</v>
      </c>
      <c r="G92" s="13" t="s">
        <v>1071</v>
      </c>
      <c r="H92" s="13" t="s">
        <v>1072</v>
      </c>
      <c r="I92" s="13" t="s">
        <v>1073</v>
      </c>
      <c r="J92" s="13" t="s">
        <v>1074</v>
      </c>
      <c r="K92" s="13" t="s">
        <v>203</v>
      </c>
    </row>
    <row r="93" ht="15.75" customHeight="1">
      <c r="A93" s="13" t="s">
        <v>1089</v>
      </c>
      <c r="B93" s="13" t="s">
        <v>1090</v>
      </c>
      <c r="C93" s="13" t="s">
        <v>109</v>
      </c>
      <c r="D93" s="13" t="s">
        <v>156</v>
      </c>
      <c r="E93" s="13" t="s">
        <v>1070</v>
      </c>
      <c r="F93" s="13">
        <v>30.0</v>
      </c>
      <c r="G93" s="13" t="s">
        <v>1071</v>
      </c>
      <c r="H93" s="13" t="s">
        <v>1072</v>
      </c>
      <c r="I93" s="13" t="s">
        <v>1073</v>
      </c>
      <c r="J93" s="13" t="s">
        <v>1074</v>
      </c>
      <c r="K93" s="13" t="s">
        <v>203</v>
      </c>
    </row>
    <row r="94" ht="15.75" customHeight="1">
      <c r="A94" s="13" t="s">
        <v>1102</v>
      </c>
      <c r="B94" s="13" t="s">
        <v>1104</v>
      </c>
      <c r="C94" s="13" t="s">
        <v>109</v>
      </c>
      <c r="D94" s="13" t="s">
        <v>156</v>
      </c>
      <c r="E94" s="13" t="s">
        <v>1070</v>
      </c>
      <c r="F94" s="13">
        <v>30.0</v>
      </c>
      <c r="G94" s="13" t="s">
        <v>1071</v>
      </c>
      <c r="H94" s="13" t="s">
        <v>1072</v>
      </c>
      <c r="I94" s="13" t="s">
        <v>1073</v>
      </c>
      <c r="J94" s="13" t="s">
        <v>1074</v>
      </c>
      <c r="K94" s="13" t="s">
        <v>203</v>
      </c>
    </row>
    <row r="95" ht="15.75" customHeight="1">
      <c r="A95" s="13" t="s">
        <v>1111</v>
      </c>
      <c r="B95" s="13" t="s">
        <v>1113</v>
      </c>
      <c r="C95" s="13" t="s">
        <v>109</v>
      </c>
      <c r="D95" s="13" t="s">
        <v>156</v>
      </c>
      <c r="E95" s="13" t="s">
        <v>1070</v>
      </c>
      <c r="F95" s="13">
        <v>30.0</v>
      </c>
      <c r="G95" s="13" t="s">
        <v>1071</v>
      </c>
      <c r="H95" s="13" t="s">
        <v>1072</v>
      </c>
      <c r="I95" s="13" t="s">
        <v>1073</v>
      </c>
      <c r="J95" s="13" t="s">
        <v>1074</v>
      </c>
      <c r="K95" s="13" t="s">
        <v>203</v>
      </c>
    </row>
    <row r="96" ht="15.75" customHeight="1">
      <c r="A96" s="13" t="s">
        <v>1124</v>
      </c>
      <c r="B96" s="13" t="s">
        <v>1125</v>
      </c>
      <c r="C96" s="13" t="s">
        <v>109</v>
      </c>
      <c r="D96" s="13" t="s">
        <v>156</v>
      </c>
      <c r="E96" s="13" t="s">
        <v>1070</v>
      </c>
      <c r="F96" s="13">
        <v>30.0</v>
      </c>
      <c r="G96" s="13" t="s">
        <v>1071</v>
      </c>
      <c r="H96" s="13" t="s">
        <v>1072</v>
      </c>
      <c r="I96" s="13" t="s">
        <v>1073</v>
      </c>
      <c r="J96" s="13" t="s">
        <v>1074</v>
      </c>
      <c r="K96" s="13" t="s">
        <v>203</v>
      </c>
    </row>
    <row r="97" ht="15.75" customHeight="1">
      <c r="A97" s="13" t="s">
        <v>1130</v>
      </c>
      <c r="B97" s="13" t="s">
        <v>1133</v>
      </c>
      <c r="C97" s="13" t="s">
        <v>109</v>
      </c>
      <c r="D97" s="13" t="s">
        <v>156</v>
      </c>
      <c r="E97" s="13" t="s">
        <v>1070</v>
      </c>
      <c r="F97" s="13">
        <v>30.0</v>
      </c>
      <c r="G97" s="13" t="s">
        <v>1071</v>
      </c>
      <c r="H97" s="13" t="s">
        <v>1072</v>
      </c>
      <c r="I97" s="13" t="s">
        <v>1073</v>
      </c>
      <c r="J97" s="13" t="s">
        <v>1074</v>
      </c>
      <c r="K97" s="13" t="s">
        <v>203</v>
      </c>
    </row>
    <row r="98" ht="15.75" customHeight="1">
      <c r="A98" s="13" t="s">
        <v>1144</v>
      </c>
      <c r="B98" s="13" t="s">
        <v>1145</v>
      </c>
      <c r="C98" s="13" t="s">
        <v>109</v>
      </c>
      <c r="D98" s="13" t="s">
        <v>156</v>
      </c>
      <c r="E98" s="13" t="s">
        <v>1070</v>
      </c>
      <c r="F98" s="13">
        <v>10.0</v>
      </c>
      <c r="G98" s="13" t="s">
        <v>1071</v>
      </c>
      <c r="H98" s="13" t="s">
        <v>1072</v>
      </c>
      <c r="I98" s="13" t="s">
        <v>1073</v>
      </c>
      <c r="J98" s="13" t="s">
        <v>1074</v>
      </c>
      <c r="K98" s="13" t="s">
        <v>203</v>
      </c>
    </row>
    <row r="99" ht="15.75" customHeight="1">
      <c r="A99" s="13" t="s">
        <v>1151</v>
      </c>
      <c r="B99" s="13" t="s">
        <v>1153</v>
      </c>
      <c r="C99" s="13" t="s">
        <v>109</v>
      </c>
      <c r="D99" s="13" t="s">
        <v>156</v>
      </c>
      <c r="E99" s="13" t="s">
        <v>1070</v>
      </c>
      <c r="F99" s="13">
        <v>30.0</v>
      </c>
      <c r="G99" s="13" t="s">
        <v>1071</v>
      </c>
      <c r="H99" s="13" t="s">
        <v>1072</v>
      </c>
      <c r="I99" s="13" t="s">
        <v>1073</v>
      </c>
      <c r="J99" s="13" t="s">
        <v>1074</v>
      </c>
      <c r="K99" s="13" t="s">
        <v>203</v>
      </c>
    </row>
    <row r="100" ht="15.75" customHeight="1">
      <c r="A100" s="13" t="s">
        <v>1160</v>
      </c>
      <c r="B100" s="13" t="s">
        <v>1162</v>
      </c>
      <c r="C100" s="13" t="s">
        <v>109</v>
      </c>
      <c r="D100" s="13" t="s">
        <v>156</v>
      </c>
      <c r="E100" s="13" t="s">
        <v>1070</v>
      </c>
      <c r="F100" s="13">
        <v>30.0</v>
      </c>
      <c r="G100" s="13" t="s">
        <v>1071</v>
      </c>
      <c r="H100" s="13" t="s">
        <v>1072</v>
      </c>
      <c r="I100" s="13" t="s">
        <v>1073</v>
      </c>
      <c r="J100" s="13" t="s">
        <v>1074</v>
      </c>
      <c r="K100" s="13" t="s">
        <v>203</v>
      </c>
    </row>
    <row r="101" ht="15.75" customHeight="1">
      <c r="A101" s="13" t="s">
        <v>1167</v>
      </c>
      <c r="B101" s="13" t="s">
        <v>1168</v>
      </c>
      <c r="C101" s="13" t="s">
        <v>109</v>
      </c>
      <c r="D101" s="13" t="s">
        <v>156</v>
      </c>
      <c r="E101" s="13" t="s">
        <v>1070</v>
      </c>
      <c r="F101" s="13">
        <v>30.0</v>
      </c>
      <c r="G101" s="13" t="s">
        <v>1071</v>
      </c>
      <c r="H101" s="13" t="s">
        <v>1072</v>
      </c>
      <c r="I101" s="13" t="s">
        <v>1073</v>
      </c>
      <c r="J101" s="13" t="s">
        <v>1074</v>
      </c>
      <c r="K101" s="13" t="s">
        <v>203</v>
      </c>
    </row>
    <row r="102" ht="15.75" customHeight="1">
      <c r="A102" s="13" t="s">
        <v>1175</v>
      </c>
      <c r="B102" s="13" t="s">
        <v>1176</v>
      </c>
      <c r="C102" s="13" t="s">
        <v>109</v>
      </c>
      <c r="D102" s="13" t="s">
        <v>156</v>
      </c>
      <c r="E102" s="13" t="s">
        <v>200</v>
      </c>
      <c r="F102" s="13" t="s">
        <v>201</v>
      </c>
      <c r="G102" s="13"/>
      <c r="H102" s="13"/>
      <c r="I102" s="13" t="s">
        <v>202</v>
      </c>
      <c r="J102" s="13" t="s">
        <v>203</v>
      </c>
      <c r="K102" s="13" t="s">
        <v>203</v>
      </c>
    </row>
    <row r="103" ht="15.75" customHeight="1">
      <c r="A103" s="13" t="s">
        <v>1182</v>
      </c>
      <c r="B103" s="13" t="s">
        <v>1184</v>
      </c>
      <c r="C103" s="13" t="s">
        <v>109</v>
      </c>
      <c r="D103" s="13" t="s">
        <v>156</v>
      </c>
      <c r="E103" s="13" t="s">
        <v>1070</v>
      </c>
      <c r="F103" s="13">
        <v>30.0</v>
      </c>
      <c r="G103" s="13" t="s">
        <v>1071</v>
      </c>
      <c r="H103" s="13" t="s">
        <v>1072</v>
      </c>
      <c r="I103" s="13" t="s">
        <v>1073</v>
      </c>
      <c r="J103" s="13" t="s">
        <v>1074</v>
      </c>
      <c r="K103" s="13" t="s">
        <v>203</v>
      </c>
    </row>
    <row r="104" ht="15.75" customHeight="1">
      <c r="A104" s="13" t="s">
        <v>1188</v>
      </c>
      <c r="B104" s="13" t="s">
        <v>1190</v>
      </c>
      <c r="C104" s="13" t="s">
        <v>111</v>
      </c>
      <c r="D104" s="13" t="s">
        <v>83</v>
      </c>
      <c r="E104" s="13" t="s">
        <v>200</v>
      </c>
      <c r="F104" s="13" t="s">
        <v>201</v>
      </c>
      <c r="G104" s="13"/>
      <c r="H104" s="13"/>
      <c r="I104" s="13" t="s">
        <v>1192</v>
      </c>
      <c r="J104" s="13" t="s">
        <v>203</v>
      </c>
      <c r="K104" s="13" t="s">
        <v>1193</v>
      </c>
    </row>
    <row r="105" ht="15.75" customHeight="1">
      <c r="A105" s="13" t="s">
        <v>1188</v>
      </c>
      <c r="B105" s="13" t="s">
        <v>1190</v>
      </c>
      <c r="C105" s="13" t="s">
        <v>111</v>
      </c>
      <c r="D105" s="13" t="s">
        <v>136</v>
      </c>
      <c r="E105" s="13" t="s">
        <v>200</v>
      </c>
      <c r="F105" s="13" t="s">
        <v>201</v>
      </c>
      <c r="G105" s="13"/>
      <c r="H105" s="13"/>
      <c r="I105" s="13" t="s">
        <v>1192</v>
      </c>
      <c r="J105" s="13" t="s">
        <v>203</v>
      </c>
      <c r="K105" s="13" t="s">
        <v>1193</v>
      </c>
    </row>
    <row r="106" ht="15.75" customHeight="1">
      <c r="A106" s="13" t="s">
        <v>1203</v>
      </c>
      <c r="B106" s="13" t="s">
        <v>221</v>
      </c>
      <c r="C106" s="13" t="s">
        <v>111</v>
      </c>
      <c r="D106" s="13" t="s">
        <v>83</v>
      </c>
      <c r="E106" s="13" t="s">
        <v>200</v>
      </c>
      <c r="F106" s="13" t="s">
        <v>201</v>
      </c>
      <c r="G106" s="13"/>
      <c r="H106" s="13"/>
      <c r="I106" s="13" t="s">
        <v>1192</v>
      </c>
      <c r="J106" s="13" t="s">
        <v>203</v>
      </c>
      <c r="K106" s="13" t="s">
        <v>1193</v>
      </c>
    </row>
    <row r="107" ht="15.75" customHeight="1">
      <c r="A107" s="13" t="s">
        <v>1203</v>
      </c>
      <c r="B107" s="13" t="s">
        <v>221</v>
      </c>
      <c r="C107" s="13" t="s">
        <v>111</v>
      </c>
      <c r="D107" s="13" t="s">
        <v>136</v>
      </c>
      <c r="E107" s="13" t="s">
        <v>200</v>
      </c>
      <c r="F107" s="13" t="s">
        <v>201</v>
      </c>
      <c r="G107" s="13"/>
      <c r="H107" s="13"/>
      <c r="I107" s="13" t="s">
        <v>1192</v>
      </c>
      <c r="J107" s="13" t="s">
        <v>203</v>
      </c>
      <c r="K107" s="13" t="s">
        <v>1193</v>
      </c>
    </row>
    <row r="108" ht="15.75" customHeight="1">
      <c r="A108" s="13" t="s">
        <v>1217</v>
      </c>
      <c r="B108" s="13" t="s">
        <v>226</v>
      </c>
      <c r="C108" s="13" t="s">
        <v>111</v>
      </c>
      <c r="D108" s="13" t="s">
        <v>83</v>
      </c>
      <c r="E108" s="13" t="s">
        <v>200</v>
      </c>
      <c r="F108" s="13" t="s">
        <v>201</v>
      </c>
      <c r="G108" s="13"/>
      <c r="H108" s="13"/>
      <c r="I108" s="13" t="s">
        <v>1192</v>
      </c>
      <c r="J108" s="13" t="s">
        <v>203</v>
      </c>
      <c r="K108" s="13" t="s">
        <v>1193</v>
      </c>
    </row>
    <row r="109" ht="15.75" customHeight="1">
      <c r="A109" s="13" t="s">
        <v>1217</v>
      </c>
      <c r="B109" s="13" t="s">
        <v>226</v>
      </c>
      <c r="C109" s="13" t="s">
        <v>111</v>
      </c>
      <c r="D109" s="13" t="s">
        <v>136</v>
      </c>
      <c r="E109" s="13" t="s">
        <v>200</v>
      </c>
      <c r="F109" s="13" t="s">
        <v>201</v>
      </c>
      <c r="G109" s="13"/>
      <c r="H109" s="13"/>
      <c r="I109" s="13" t="s">
        <v>1192</v>
      </c>
      <c r="J109" s="13" t="s">
        <v>203</v>
      </c>
      <c r="K109" s="13" t="s">
        <v>1193</v>
      </c>
    </row>
    <row r="110" ht="15.75" customHeight="1">
      <c r="A110" s="13" t="s">
        <v>1234</v>
      </c>
      <c r="B110" s="13" t="s">
        <v>1237</v>
      </c>
      <c r="C110" s="13" t="s">
        <v>111</v>
      </c>
      <c r="D110" s="13" t="s">
        <v>83</v>
      </c>
      <c r="E110" s="13" t="s">
        <v>200</v>
      </c>
      <c r="F110" s="13" t="s">
        <v>201</v>
      </c>
      <c r="G110" s="13"/>
      <c r="H110" s="13"/>
      <c r="I110" s="13" t="s">
        <v>1192</v>
      </c>
      <c r="J110" s="13" t="s">
        <v>203</v>
      </c>
      <c r="K110" s="13" t="s">
        <v>1193</v>
      </c>
    </row>
    <row r="111" ht="15.75" customHeight="1">
      <c r="A111" s="13" t="s">
        <v>1234</v>
      </c>
      <c r="B111" s="13" t="s">
        <v>1237</v>
      </c>
      <c r="C111" s="13" t="s">
        <v>111</v>
      </c>
      <c r="D111" s="13" t="s">
        <v>136</v>
      </c>
      <c r="E111" s="13" t="s">
        <v>200</v>
      </c>
      <c r="F111" s="13" t="s">
        <v>201</v>
      </c>
      <c r="G111" s="13"/>
      <c r="H111" s="13"/>
      <c r="I111" s="13" t="s">
        <v>1192</v>
      </c>
      <c r="J111" s="13" t="s">
        <v>203</v>
      </c>
      <c r="K111" s="13" t="s">
        <v>1193</v>
      </c>
    </row>
    <row r="112" ht="15.75" customHeight="1">
      <c r="A112" s="13" t="s">
        <v>1257</v>
      </c>
      <c r="B112" s="13" t="s">
        <v>1258</v>
      </c>
      <c r="C112" s="13" t="s">
        <v>111</v>
      </c>
      <c r="D112" s="13" t="s">
        <v>83</v>
      </c>
      <c r="E112" s="13" t="s">
        <v>200</v>
      </c>
      <c r="F112" s="13" t="s">
        <v>201</v>
      </c>
      <c r="G112" s="13"/>
      <c r="H112" s="13"/>
      <c r="I112" s="13" t="s">
        <v>1192</v>
      </c>
      <c r="J112" s="13" t="s">
        <v>203</v>
      </c>
      <c r="K112" s="13" t="s">
        <v>1193</v>
      </c>
    </row>
    <row r="113" ht="15.75" customHeight="1">
      <c r="A113" s="13" t="s">
        <v>1257</v>
      </c>
      <c r="B113" s="13" t="s">
        <v>1258</v>
      </c>
      <c r="C113" s="13" t="s">
        <v>111</v>
      </c>
      <c r="D113" s="13" t="s">
        <v>136</v>
      </c>
      <c r="E113" s="13" t="s">
        <v>200</v>
      </c>
      <c r="F113" s="13" t="s">
        <v>201</v>
      </c>
      <c r="G113" s="13"/>
      <c r="H113" s="13"/>
      <c r="I113" s="13" t="s">
        <v>1192</v>
      </c>
      <c r="J113" s="13" t="s">
        <v>203</v>
      </c>
      <c r="K113" s="13" t="s">
        <v>1193</v>
      </c>
    </row>
    <row r="114" ht="15.75" customHeight="1">
      <c r="A114" s="13" t="s">
        <v>1270</v>
      </c>
      <c r="B114" s="13" t="s">
        <v>1271</v>
      </c>
      <c r="C114" s="13" t="s">
        <v>111</v>
      </c>
      <c r="D114" s="13" t="s">
        <v>83</v>
      </c>
      <c r="E114" s="13" t="s">
        <v>200</v>
      </c>
      <c r="F114" s="13" t="s">
        <v>201</v>
      </c>
      <c r="G114" s="13"/>
      <c r="H114" s="13"/>
      <c r="I114" s="13" t="s">
        <v>1192</v>
      </c>
      <c r="J114" s="13" t="s">
        <v>203</v>
      </c>
      <c r="K114" s="13" t="s">
        <v>1193</v>
      </c>
    </row>
    <row r="115" ht="15.75" customHeight="1">
      <c r="A115" s="13" t="s">
        <v>1270</v>
      </c>
      <c r="B115" s="13" t="s">
        <v>1271</v>
      </c>
      <c r="C115" s="13" t="s">
        <v>111</v>
      </c>
      <c r="D115" s="13" t="s">
        <v>136</v>
      </c>
      <c r="E115" s="13" t="s">
        <v>200</v>
      </c>
      <c r="F115" s="13" t="s">
        <v>201</v>
      </c>
      <c r="G115" s="13"/>
      <c r="H115" s="13"/>
      <c r="I115" s="13" t="s">
        <v>1192</v>
      </c>
      <c r="J115" s="13" t="s">
        <v>203</v>
      </c>
      <c r="K115" s="13" t="s">
        <v>1193</v>
      </c>
    </row>
    <row r="116" ht="15.75" customHeight="1">
      <c r="A116" s="13" t="s">
        <v>1286</v>
      </c>
      <c r="B116" s="13" t="s">
        <v>1289</v>
      </c>
      <c r="C116" s="13" t="s">
        <v>111</v>
      </c>
      <c r="D116" s="13" t="s">
        <v>83</v>
      </c>
      <c r="E116" s="13" t="s">
        <v>200</v>
      </c>
      <c r="F116" s="13" t="s">
        <v>201</v>
      </c>
      <c r="G116" s="13"/>
      <c r="H116" s="13"/>
      <c r="I116" s="13" t="s">
        <v>1192</v>
      </c>
      <c r="J116" s="13" t="s">
        <v>203</v>
      </c>
      <c r="K116" s="13" t="s">
        <v>1193</v>
      </c>
    </row>
    <row r="117" ht="15.75" customHeight="1">
      <c r="A117" s="13" t="s">
        <v>1286</v>
      </c>
      <c r="B117" s="13" t="s">
        <v>1289</v>
      </c>
      <c r="C117" s="13" t="s">
        <v>111</v>
      </c>
      <c r="D117" s="13" t="s">
        <v>136</v>
      </c>
      <c r="E117" s="13" t="s">
        <v>200</v>
      </c>
      <c r="F117" s="13" t="s">
        <v>201</v>
      </c>
      <c r="G117" s="13"/>
      <c r="H117" s="13"/>
      <c r="I117" s="13" t="s">
        <v>1192</v>
      </c>
      <c r="J117" s="13" t="s">
        <v>203</v>
      </c>
      <c r="K117" s="13" t="s">
        <v>1193</v>
      </c>
    </row>
    <row r="118" ht="15.75" customHeight="1">
      <c r="A118" s="13" t="s">
        <v>1311</v>
      </c>
      <c r="B118" s="13" t="s">
        <v>1312</v>
      </c>
      <c r="C118" s="13" t="s">
        <v>111</v>
      </c>
      <c r="D118" s="13" t="s">
        <v>83</v>
      </c>
      <c r="E118" s="13" t="s">
        <v>1313</v>
      </c>
      <c r="F118" s="13" t="s">
        <v>203</v>
      </c>
      <c r="G118" s="13"/>
      <c r="H118" s="13"/>
      <c r="I118" s="13" t="s">
        <v>1319</v>
      </c>
      <c r="J118" s="13" t="s">
        <v>203</v>
      </c>
      <c r="K118" s="13" t="s">
        <v>203</v>
      </c>
    </row>
    <row r="119" ht="15.75" customHeight="1">
      <c r="A119" s="13" t="s">
        <v>1311</v>
      </c>
      <c r="B119" s="13" t="s">
        <v>1312</v>
      </c>
      <c r="C119" s="13" t="s">
        <v>111</v>
      </c>
      <c r="D119" s="13" t="s">
        <v>136</v>
      </c>
      <c r="E119" s="13" t="s">
        <v>200</v>
      </c>
      <c r="F119" s="13" t="s">
        <v>201</v>
      </c>
      <c r="G119" s="13"/>
      <c r="H119" s="13"/>
      <c r="I119" s="13" t="s">
        <v>1329</v>
      </c>
      <c r="J119" s="13" t="s">
        <v>203</v>
      </c>
      <c r="K119" s="13" t="s">
        <v>1332</v>
      </c>
    </row>
    <row r="120" ht="15.75" customHeight="1">
      <c r="A120" s="13" t="s">
        <v>1334</v>
      </c>
      <c r="B120" s="13" t="s">
        <v>1336</v>
      </c>
      <c r="C120" s="13" t="s">
        <v>111</v>
      </c>
      <c r="D120" s="13" t="s">
        <v>83</v>
      </c>
      <c r="E120" s="13" t="s">
        <v>200</v>
      </c>
      <c r="F120" s="13" t="s">
        <v>201</v>
      </c>
      <c r="G120" s="13"/>
      <c r="H120" s="13"/>
      <c r="I120" s="13" t="s">
        <v>1192</v>
      </c>
      <c r="J120" s="13" t="s">
        <v>203</v>
      </c>
      <c r="K120" s="13" t="s">
        <v>1193</v>
      </c>
    </row>
    <row r="121" ht="15.75" customHeight="1">
      <c r="A121" s="13" t="s">
        <v>1334</v>
      </c>
      <c r="B121" s="13" t="s">
        <v>1336</v>
      </c>
      <c r="C121" s="13" t="s">
        <v>111</v>
      </c>
      <c r="D121" s="13" t="s">
        <v>136</v>
      </c>
      <c r="E121" s="13" t="s">
        <v>200</v>
      </c>
      <c r="F121" s="13" t="s">
        <v>201</v>
      </c>
      <c r="G121" s="13"/>
      <c r="H121" s="13"/>
      <c r="I121" s="13" t="s">
        <v>1192</v>
      </c>
      <c r="J121" s="13" t="s">
        <v>203</v>
      </c>
      <c r="K121" s="13" t="s">
        <v>1193</v>
      </c>
    </row>
    <row r="122" ht="15.75" customHeight="1">
      <c r="A122" s="13" t="s">
        <v>1354</v>
      </c>
      <c r="B122" s="13" t="s">
        <v>1357</v>
      </c>
      <c r="C122" s="13" t="s">
        <v>111</v>
      </c>
      <c r="D122" s="13" t="s">
        <v>83</v>
      </c>
      <c r="E122" s="13" t="s">
        <v>200</v>
      </c>
      <c r="F122" s="13" t="s">
        <v>201</v>
      </c>
      <c r="G122" s="13"/>
      <c r="H122" s="13"/>
      <c r="I122" s="13" t="s">
        <v>1192</v>
      </c>
      <c r="J122" s="13" t="s">
        <v>203</v>
      </c>
      <c r="K122" s="13" t="s">
        <v>1193</v>
      </c>
    </row>
    <row r="123" ht="15.75" customHeight="1">
      <c r="A123" s="13" t="s">
        <v>1354</v>
      </c>
      <c r="B123" s="13" t="s">
        <v>1357</v>
      </c>
      <c r="C123" s="13" t="s">
        <v>111</v>
      </c>
      <c r="D123" s="13" t="s">
        <v>136</v>
      </c>
      <c r="E123" s="13" t="s">
        <v>200</v>
      </c>
      <c r="F123" s="13" t="s">
        <v>201</v>
      </c>
      <c r="G123" s="13"/>
      <c r="H123" s="13"/>
      <c r="I123" s="13" t="s">
        <v>1192</v>
      </c>
      <c r="J123" s="13" t="s">
        <v>203</v>
      </c>
      <c r="K123" s="13" t="s">
        <v>1193</v>
      </c>
    </row>
    <row r="124" ht="15.75" customHeight="1">
      <c r="A124" s="13" t="s">
        <v>1371</v>
      </c>
      <c r="B124" s="13" t="s">
        <v>1374</v>
      </c>
      <c r="C124" s="13" t="s">
        <v>111</v>
      </c>
      <c r="D124" s="13" t="s">
        <v>83</v>
      </c>
      <c r="E124" s="13" t="s">
        <v>200</v>
      </c>
      <c r="F124" s="13" t="s">
        <v>201</v>
      </c>
      <c r="G124" s="13"/>
      <c r="H124" s="13"/>
      <c r="I124" s="13" t="s">
        <v>1192</v>
      </c>
      <c r="J124" s="13" t="s">
        <v>203</v>
      </c>
      <c r="K124" s="13" t="s">
        <v>1193</v>
      </c>
    </row>
    <row r="125" ht="15.75" customHeight="1">
      <c r="A125" s="13" t="s">
        <v>1371</v>
      </c>
      <c r="B125" s="13" t="s">
        <v>1374</v>
      </c>
      <c r="C125" s="13" t="s">
        <v>111</v>
      </c>
      <c r="D125" s="13" t="s">
        <v>136</v>
      </c>
      <c r="E125" s="13" t="s">
        <v>200</v>
      </c>
      <c r="F125" s="13" t="s">
        <v>201</v>
      </c>
      <c r="G125" s="13"/>
      <c r="H125" s="13"/>
      <c r="I125" s="13" t="s">
        <v>1192</v>
      </c>
      <c r="J125" s="13" t="s">
        <v>203</v>
      </c>
      <c r="K125" s="13" t="s">
        <v>1193</v>
      </c>
    </row>
    <row r="126" ht="15.75" customHeight="1">
      <c r="A126" s="13" t="s">
        <v>1381</v>
      </c>
      <c r="B126" s="13" t="s">
        <v>1383</v>
      </c>
      <c r="C126" s="13" t="s">
        <v>111</v>
      </c>
      <c r="D126" s="13" t="s">
        <v>83</v>
      </c>
      <c r="E126" s="13" t="s">
        <v>200</v>
      </c>
      <c r="F126" s="13" t="s">
        <v>201</v>
      </c>
      <c r="G126" s="13"/>
      <c r="H126" s="13"/>
      <c r="I126" s="13" t="s">
        <v>1192</v>
      </c>
      <c r="J126" s="13" t="s">
        <v>203</v>
      </c>
      <c r="K126" s="13" t="s">
        <v>1193</v>
      </c>
    </row>
    <row r="127" ht="15.75" customHeight="1">
      <c r="A127" s="13" t="s">
        <v>1381</v>
      </c>
      <c r="B127" s="13" t="s">
        <v>1383</v>
      </c>
      <c r="C127" s="13" t="s">
        <v>111</v>
      </c>
      <c r="D127" s="13" t="s">
        <v>136</v>
      </c>
      <c r="E127" s="13" t="s">
        <v>200</v>
      </c>
      <c r="F127" s="13" t="s">
        <v>201</v>
      </c>
      <c r="G127" s="13"/>
      <c r="H127" s="13"/>
      <c r="I127" s="13" t="s">
        <v>1192</v>
      </c>
      <c r="J127" s="13" t="s">
        <v>203</v>
      </c>
      <c r="K127" s="13" t="s">
        <v>1193</v>
      </c>
    </row>
    <row r="128" ht="15.75" customHeight="1">
      <c r="A128" s="13" t="s">
        <v>1395</v>
      </c>
      <c r="B128" s="13" t="s">
        <v>1396</v>
      </c>
      <c r="C128" s="13" t="s">
        <v>111</v>
      </c>
      <c r="D128" s="13" t="s">
        <v>83</v>
      </c>
      <c r="E128" s="13" t="s">
        <v>1313</v>
      </c>
      <c r="F128" s="13" t="s">
        <v>203</v>
      </c>
      <c r="G128" s="13"/>
      <c r="H128" s="13"/>
      <c r="I128" s="13" t="s">
        <v>1319</v>
      </c>
      <c r="J128" s="13" t="s">
        <v>203</v>
      </c>
      <c r="K128" s="13" t="s">
        <v>203</v>
      </c>
    </row>
    <row r="129" ht="15.75" customHeight="1">
      <c r="A129" s="13" t="s">
        <v>1395</v>
      </c>
      <c r="B129" s="13" t="s">
        <v>1396</v>
      </c>
      <c r="C129" s="13" t="s">
        <v>111</v>
      </c>
      <c r="D129" s="13" t="s">
        <v>136</v>
      </c>
      <c r="E129" s="13" t="s">
        <v>200</v>
      </c>
      <c r="F129" s="13" t="s">
        <v>201</v>
      </c>
      <c r="G129" s="13"/>
      <c r="H129" s="13"/>
      <c r="I129" s="13" t="s">
        <v>1329</v>
      </c>
      <c r="J129" s="13" t="s">
        <v>203</v>
      </c>
      <c r="K129" s="13" t="s">
        <v>1332</v>
      </c>
    </row>
    <row r="130" ht="15.75" customHeight="1">
      <c r="A130" s="13" t="s">
        <v>1409</v>
      </c>
      <c r="B130" s="13" t="s">
        <v>1412</v>
      </c>
      <c r="C130" s="13" t="s">
        <v>111</v>
      </c>
      <c r="D130" s="13" t="s">
        <v>83</v>
      </c>
      <c r="E130" s="13" t="s">
        <v>1313</v>
      </c>
      <c r="F130" s="13" t="s">
        <v>203</v>
      </c>
      <c r="G130" s="13"/>
      <c r="H130" s="13"/>
      <c r="I130" s="13" t="s">
        <v>1319</v>
      </c>
      <c r="J130" s="13" t="s">
        <v>203</v>
      </c>
      <c r="K130" s="13" t="s">
        <v>203</v>
      </c>
    </row>
    <row r="131" ht="15.75" customHeight="1">
      <c r="A131" s="13" t="s">
        <v>1409</v>
      </c>
      <c r="B131" s="13" t="s">
        <v>1412</v>
      </c>
      <c r="C131" s="13" t="s">
        <v>111</v>
      </c>
      <c r="D131" s="13" t="s">
        <v>136</v>
      </c>
      <c r="E131" s="13" t="s">
        <v>200</v>
      </c>
      <c r="F131" s="13" t="s">
        <v>201</v>
      </c>
      <c r="G131" s="13"/>
      <c r="H131" s="13"/>
      <c r="I131" s="13" t="s">
        <v>1329</v>
      </c>
      <c r="J131" s="13" t="s">
        <v>203</v>
      </c>
      <c r="K131" s="13" t="s">
        <v>1332</v>
      </c>
    </row>
    <row r="132" ht="15.75" customHeight="1">
      <c r="A132" s="13" t="s">
        <v>1429</v>
      </c>
      <c r="B132" s="13" t="s">
        <v>1431</v>
      </c>
      <c r="C132" s="13" t="s">
        <v>111</v>
      </c>
      <c r="D132" s="13" t="s">
        <v>83</v>
      </c>
      <c r="E132" s="13" t="s">
        <v>200</v>
      </c>
      <c r="F132" s="13" t="s">
        <v>201</v>
      </c>
      <c r="G132" s="13"/>
      <c r="H132" s="13"/>
      <c r="I132" s="13" t="s">
        <v>1192</v>
      </c>
      <c r="J132" s="13" t="s">
        <v>203</v>
      </c>
      <c r="K132" s="13" t="s">
        <v>1193</v>
      </c>
    </row>
    <row r="133" ht="15.75" customHeight="1">
      <c r="A133" s="13" t="s">
        <v>1429</v>
      </c>
      <c r="B133" s="13" t="s">
        <v>1431</v>
      </c>
      <c r="C133" s="13" t="s">
        <v>111</v>
      </c>
      <c r="D133" s="13" t="s">
        <v>136</v>
      </c>
      <c r="E133" s="13" t="s">
        <v>200</v>
      </c>
      <c r="F133" s="13" t="s">
        <v>201</v>
      </c>
      <c r="G133" s="13"/>
      <c r="H133" s="13"/>
      <c r="I133" s="13" t="s">
        <v>1192</v>
      </c>
      <c r="J133" s="13" t="s">
        <v>203</v>
      </c>
      <c r="K133" s="13" t="s">
        <v>1193</v>
      </c>
    </row>
    <row r="134" ht="15.75" customHeight="1">
      <c r="A134" s="13" t="s">
        <v>1445</v>
      </c>
      <c r="B134" s="13" t="s">
        <v>1447</v>
      </c>
      <c r="C134" s="13" t="s">
        <v>111</v>
      </c>
      <c r="D134" s="13" t="s">
        <v>83</v>
      </c>
      <c r="E134" s="13" t="s">
        <v>200</v>
      </c>
      <c r="F134" s="13" t="s">
        <v>201</v>
      </c>
      <c r="G134" s="13"/>
      <c r="H134" s="13"/>
      <c r="I134" s="13" t="s">
        <v>1192</v>
      </c>
      <c r="J134" s="13" t="s">
        <v>203</v>
      </c>
      <c r="K134" s="13" t="s">
        <v>1193</v>
      </c>
    </row>
    <row r="135" ht="15.75" customHeight="1">
      <c r="A135" s="13" t="s">
        <v>1445</v>
      </c>
      <c r="B135" s="13" t="s">
        <v>1447</v>
      </c>
      <c r="C135" s="13" t="s">
        <v>111</v>
      </c>
      <c r="D135" s="13" t="s">
        <v>136</v>
      </c>
      <c r="E135" s="13" t="s">
        <v>200</v>
      </c>
      <c r="F135" s="13" t="s">
        <v>201</v>
      </c>
      <c r="G135" s="13"/>
      <c r="H135" s="13"/>
      <c r="I135" s="13" t="s">
        <v>1192</v>
      </c>
      <c r="J135" s="13" t="s">
        <v>203</v>
      </c>
      <c r="K135" s="13" t="s">
        <v>1193</v>
      </c>
    </row>
    <row r="136" ht="15.75" customHeight="1">
      <c r="A136" s="13" t="s">
        <v>1465</v>
      </c>
      <c r="B136" s="13" t="s">
        <v>1466</v>
      </c>
      <c r="C136" s="13" t="s">
        <v>111</v>
      </c>
      <c r="D136" s="13" t="s">
        <v>83</v>
      </c>
      <c r="E136" s="13" t="s">
        <v>200</v>
      </c>
      <c r="F136" s="13" t="s">
        <v>201</v>
      </c>
      <c r="G136" s="13"/>
      <c r="H136" s="13"/>
      <c r="I136" s="13" t="s">
        <v>1192</v>
      </c>
      <c r="J136" s="13" t="s">
        <v>203</v>
      </c>
      <c r="K136" s="13" t="s">
        <v>1193</v>
      </c>
    </row>
    <row r="137" ht="15.75" customHeight="1">
      <c r="A137" s="13" t="s">
        <v>1465</v>
      </c>
      <c r="B137" s="13" t="s">
        <v>1466</v>
      </c>
      <c r="C137" s="13" t="s">
        <v>111</v>
      </c>
      <c r="D137" s="13" t="s">
        <v>136</v>
      </c>
      <c r="E137" s="13" t="s">
        <v>200</v>
      </c>
      <c r="F137" s="13" t="s">
        <v>201</v>
      </c>
      <c r="G137" s="13"/>
      <c r="H137" s="13"/>
      <c r="I137" s="13" t="s">
        <v>1192</v>
      </c>
      <c r="J137" s="13" t="s">
        <v>203</v>
      </c>
      <c r="K137" s="13" t="s">
        <v>1193</v>
      </c>
    </row>
    <row r="138" ht="15.75" customHeight="1">
      <c r="A138" s="13" t="s">
        <v>1483</v>
      </c>
      <c r="B138" s="13" t="s">
        <v>1484</v>
      </c>
      <c r="C138" s="13" t="s">
        <v>111</v>
      </c>
      <c r="D138" s="13" t="s">
        <v>83</v>
      </c>
      <c r="E138" s="13" t="s">
        <v>200</v>
      </c>
      <c r="F138" s="13" t="s">
        <v>201</v>
      </c>
      <c r="G138" s="13"/>
      <c r="H138" s="13"/>
      <c r="I138" s="13" t="s">
        <v>1192</v>
      </c>
      <c r="J138" s="13" t="s">
        <v>203</v>
      </c>
      <c r="K138" s="13" t="s">
        <v>1193</v>
      </c>
    </row>
    <row r="139" ht="15.75" customHeight="1">
      <c r="A139" s="13" t="s">
        <v>1483</v>
      </c>
      <c r="B139" s="13" t="s">
        <v>1484</v>
      </c>
      <c r="C139" s="13" t="s">
        <v>111</v>
      </c>
      <c r="D139" s="13" t="s">
        <v>136</v>
      </c>
      <c r="E139" s="13" t="s">
        <v>200</v>
      </c>
      <c r="F139" s="13" t="s">
        <v>201</v>
      </c>
      <c r="G139" s="13"/>
      <c r="H139" s="13"/>
      <c r="I139" s="13" t="s">
        <v>1192</v>
      </c>
      <c r="J139" s="13" t="s">
        <v>203</v>
      </c>
      <c r="K139" s="13" t="s">
        <v>1193</v>
      </c>
    </row>
    <row r="140" ht="15.75" customHeight="1">
      <c r="A140" s="13" t="s">
        <v>1504</v>
      </c>
      <c r="B140" s="13" t="s">
        <v>1506</v>
      </c>
      <c r="C140" s="13" t="s">
        <v>111</v>
      </c>
      <c r="D140" s="13" t="s">
        <v>83</v>
      </c>
      <c r="E140" s="13" t="s">
        <v>200</v>
      </c>
      <c r="F140" s="13" t="s">
        <v>201</v>
      </c>
      <c r="G140" s="13"/>
      <c r="H140" s="13"/>
      <c r="I140" s="13" t="s">
        <v>1192</v>
      </c>
      <c r="J140" s="13" t="s">
        <v>203</v>
      </c>
      <c r="K140" s="13" t="s">
        <v>1193</v>
      </c>
    </row>
    <row r="141" ht="15.75" customHeight="1">
      <c r="A141" s="13" t="s">
        <v>1504</v>
      </c>
      <c r="B141" s="13" t="s">
        <v>1506</v>
      </c>
      <c r="C141" s="13" t="s">
        <v>111</v>
      </c>
      <c r="D141" s="13" t="s">
        <v>136</v>
      </c>
      <c r="E141" s="13" t="s">
        <v>200</v>
      </c>
      <c r="F141" s="13" t="s">
        <v>201</v>
      </c>
      <c r="G141" s="13"/>
      <c r="H141" s="13"/>
      <c r="I141" s="13" t="s">
        <v>1192</v>
      </c>
      <c r="J141" s="13" t="s">
        <v>203</v>
      </c>
      <c r="K141" s="13" t="s">
        <v>1193</v>
      </c>
    </row>
    <row r="142" ht="15.75" customHeight="1">
      <c r="A142" s="13" t="s">
        <v>1518</v>
      </c>
      <c r="B142" s="13" t="s">
        <v>1519</v>
      </c>
      <c r="C142" s="13" t="s">
        <v>111</v>
      </c>
      <c r="D142" s="13" t="s">
        <v>83</v>
      </c>
      <c r="E142" s="13" t="s">
        <v>200</v>
      </c>
      <c r="F142" s="13" t="s">
        <v>201</v>
      </c>
      <c r="G142" s="13"/>
      <c r="H142" s="13"/>
      <c r="I142" s="13" t="s">
        <v>1192</v>
      </c>
      <c r="J142" s="13" t="s">
        <v>203</v>
      </c>
      <c r="K142" s="13" t="s">
        <v>1193</v>
      </c>
    </row>
    <row r="143" ht="15.75" customHeight="1">
      <c r="A143" s="13" t="s">
        <v>1518</v>
      </c>
      <c r="B143" s="13" t="s">
        <v>1519</v>
      </c>
      <c r="C143" s="13" t="s">
        <v>111</v>
      </c>
      <c r="D143" s="13" t="s">
        <v>136</v>
      </c>
      <c r="E143" s="13" t="s">
        <v>200</v>
      </c>
      <c r="F143" s="13" t="s">
        <v>201</v>
      </c>
      <c r="G143" s="13"/>
      <c r="H143" s="13"/>
      <c r="I143" s="13" t="s">
        <v>1192</v>
      </c>
      <c r="J143" s="13" t="s">
        <v>203</v>
      </c>
      <c r="K143" s="13" t="s">
        <v>1193</v>
      </c>
    </row>
    <row r="144" ht="15.75" customHeight="1">
      <c r="A144" s="13" t="s">
        <v>1529</v>
      </c>
      <c r="B144" s="13" t="s">
        <v>1531</v>
      </c>
      <c r="C144" s="13" t="s">
        <v>111</v>
      </c>
      <c r="D144" s="13" t="s">
        <v>83</v>
      </c>
      <c r="E144" s="13" t="s">
        <v>1070</v>
      </c>
      <c r="F144" s="13">
        <v>20.0</v>
      </c>
      <c r="G144" s="13" t="s">
        <v>1534</v>
      </c>
      <c r="H144" s="13" t="s">
        <v>1535</v>
      </c>
      <c r="I144" s="13" t="s">
        <v>1536</v>
      </c>
      <c r="J144" s="13" t="s">
        <v>1537</v>
      </c>
      <c r="K144" s="13" t="s">
        <v>1539</v>
      </c>
    </row>
    <row r="145" ht="15.75" customHeight="1">
      <c r="A145" s="13" t="s">
        <v>1529</v>
      </c>
      <c r="B145" s="13" t="s">
        <v>1531</v>
      </c>
      <c r="C145" s="13" t="s">
        <v>111</v>
      </c>
      <c r="D145" s="13" t="s">
        <v>136</v>
      </c>
      <c r="E145" s="13" t="s">
        <v>200</v>
      </c>
      <c r="F145" s="13">
        <v>300.0</v>
      </c>
      <c r="G145" s="13" t="s">
        <v>1534</v>
      </c>
      <c r="H145" s="13" t="s">
        <v>1535</v>
      </c>
      <c r="I145" s="13" t="s">
        <v>1192</v>
      </c>
      <c r="J145" s="13" t="s">
        <v>1537</v>
      </c>
      <c r="K145" s="13" t="s">
        <v>1539</v>
      </c>
    </row>
    <row r="146" ht="15.75" customHeight="1">
      <c r="A146" s="13" t="s">
        <v>1551</v>
      </c>
      <c r="B146" s="13" t="s">
        <v>1553</v>
      </c>
      <c r="C146" s="13" t="s">
        <v>111</v>
      </c>
      <c r="D146" s="13" t="s">
        <v>83</v>
      </c>
      <c r="E146" s="13" t="s">
        <v>200</v>
      </c>
      <c r="F146" s="13" t="s">
        <v>201</v>
      </c>
      <c r="G146" s="13"/>
      <c r="H146" s="13"/>
      <c r="I146" s="13" t="s">
        <v>1192</v>
      </c>
      <c r="J146" s="13" t="s">
        <v>203</v>
      </c>
      <c r="K146" s="13" t="s">
        <v>1193</v>
      </c>
    </row>
    <row r="147" ht="15.75" customHeight="1">
      <c r="A147" s="13" t="s">
        <v>1551</v>
      </c>
      <c r="B147" s="13" t="s">
        <v>1553</v>
      </c>
      <c r="C147" s="13" t="s">
        <v>111</v>
      </c>
      <c r="D147" s="13" t="s">
        <v>136</v>
      </c>
      <c r="E147" s="13" t="s">
        <v>200</v>
      </c>
      <c r="F147" s="13" t="s">
        <v>201</v>
      </c>
      <c r="G147" s="13"/>
      <c r="H147" s="13"/>
      <c r="I147" s="13" t="s">
        <v>1192</v>
      </c>
      <c r="J147" s="13" t="s">
        <v>203</v>
      </c>
      <c r="K147" s="13" t="s">
        <v>1193</v>
      </c>
    </row>
    <row r="148" ht="15.75" customHeight="1">
      <c r="A148" s="13" t="s">
        <v>1570</v>
      </c>
      <c r="B148" s="13" t="s">
        <v>1571</v>
      </c>
      <c r="C148" s="13" t="s">
        <v>111</v>
      </c>
      <c r="D148" s="13" t="s">
        <v>83</v>
      </c>
      <c r="E148" s="13" t="s">
        <v>200</v>
      </c>
      <c r="F148" s="13" t="s">
        <v>201</v>
      </c>
      <c r="G148" s="13"/>
      <c r="H148" s="13"/>
      <c r="I148" s="13" t="s">
        <v>1192</v>
      </c>
      <c r="J148" s="13" t="s">
        <v>203</v>
      </c>
      <c r="K148" s="13" t="s">
        <v>1193</v>
      </c>
    </row>
    <row r="149" ht="15.75" customHeight="1">
      <c r="A149" s="13" t="s">
        <v>1570</v>
      </c>
      <c r="B149" s="13" t="s">
        <v>1571</v>
      </c>
      <c r="C149" s="13" t="s">
        <v>111</v>
      </c>
      <c r="D149" s="13" t="s">
        <v>136</v>
      </c>
      <c r="E149" s="13" t="s">
        <v>200</v>
      </c>
      <c r="F149" s="13" t="s">
        <v>201</v>
      </c>
      <c r="G149" s="13"/>
      <c r="H149" s="13"/>
      <c r="I149" s="13" t="s">
        <v>1192</v>
      </c>
      <c r="J149" s="13" t="s">
        <v>203</v>
      </c>
      <c r="K149" s="13" t="s">
        <v>1193</v>
      </c>
    </row>
    <row r="150" ht="15.75" customHeight="1">
      <c r="A150" s="13" t="s">
        <v>1598</v>
      </c>
      <c r="B150" s="13" t="s">
        <v>1601</v>
      </c>
      <c r="C150" s="13" t="s">
        <v>111</v>
      </c>
      <c r="D150" s="13" t="s">
        <v>83</v>
      </c>
      <c r="E150" s="13" t="s">
        <v>200</v>
      </c>
      <c r="F150" s="13" t="s">
        <v>201</v>
      </c>
      <c r="G150" s="13"/>
      <c r="H150" s="13"/>
      <c r="I150" s="13" t="s">
        <v>1192</v>
      </c>
      <c r="J150" s="13" t="s">
        <v>203</v>
      </c>
      <c r="K150" s="13" t="s">
        <v>1193</v>
      </c>
    </row>
    <row r="151" ht="15.75" customHeight="1">
      <c r="A151" s="13" t="s">
        <v>1598</v>
      </c>
      <c r="B151" s="13" t="s">
        <v>1601</v>
      </c>
      <c r="C151" s="13" t="s">
        <v>111</v>
      </c>
      <c r="D151" s="13" t="s">
        <v>136</v>
      </c>
      <c r="E151" s="13" t="s">
        <v>200</v>
      </c>
      <c r="F151" s="13" t="s">
        <v>201</v>
      </c>
      <c r="G151" s="13"/>
      <c r="H151" s="13"/>
      <c r="I151" s="13" t="s">
        <v>1192</v>
      </c>
      <c r="J151" s="13" t="s">
        <v>203</v>
      </c>
      <c r="K151" s="13" t="s">
        <v>1193</v>
      </c>
    </row>
    <row r="152" ht="15.75" customHeight="1">
      <c r="A152" s="13" t="s">
        <v>1620</v>
      </c>
      <c r="B152" s="13" t="s">
        <v>1622</v>
      </c>
      <c r="C152" s="13" t="s">
        <v>111</v>
      </c>
      <c r="D152" s="13" t="s">
        <v>83</v>
      </c>
      <c r="E152" s="13" t="s">
        <v>1070</v>
      </c>
      <c r="F152" s="13">
        <v>100.0</v>
      </c>
      <c r="G152" s="13" t="s">
        <v>1630</v>
      </c>
      <c r="H152" s="13" t="s">
        <v>1631</v>
      </c>
      <c r="I152" s="13" t="s">
        <v>1536</v>
      </c>
      <c r="J152" s="13" t="s">
        <v>1537</v>
      </c>
      <c r="K152" s="13" t="s">
        <v>1539</v>
      </c>
    </row>
    <row r="153" ht="15.75" customHeight="1">
      <c r="A153" s="13" t="s">
        <v>1620</v>
      </c>
      <c r="B153" s="13" t="s">
        <v>1622</v>
      </c>
      <c r="C153" s="13" t="s">
        <v>111</v>
      </c>
      <c r="D153" s="13" t="s">
        <v>136</v>
      </c>
      <c r="E153" s="13" t="s">
        <v>200</v>
      </c>
      <c r="F153" s="13">
        <v>500.0</v>
      </c>
      <c r="G153" s="13" t="s">
        <v>1630</v>
      </c>
      <c r="H153" s="13" t="s">
        <v>1631</v>
      </c>
      <c r="I153" s="13" t="s">
        <v>1192</v>
      </c>
      <c r="J153" s="13" t="s">
        <v>1537</v>
      </c>
      <c r="K153" s="13" t="s">
        <v>1539</v>
      </c>
    </row>
    <row r="154" ht="15.75" customHeight="1">
      <c r="A154" s="13" t="s">
        <v>1647</v>
      </c>
      <c r="B154" s="13" t="s">
        <v>1648</v>
      </c>
      <c r="C154" s="13" t="s">
        <v>111</v>
      </c>
      <c r="D154" s="13" t="s">
        <v>83</v>
      </c>
      <c r="E154" s="13" t="s">
        <v>200</v>
      </c>
      <c r="F154" s="13" t="s">
        <v>201</v>
      </c>
      <c r="G154" s="13"/>
      <c r="H154" s="13"/>
      <c r="I154" s="13" t="s">
        <v>1192</v>
      </c>
      <c r="J154" s="13" t="s">
        <v>203</v>
      </c>
      <c r="K154" s="13" t="s">
        <v>1193</v>
      </c>
    </row>
    <row r="155" ht="15.75" customHeight="1">
      <c r="A155" s="13" t="s">
        <v>1647</v>
      </c>
      <c r="B155" s="13" t="s">
        <v>1648</v>
      </c>
      <c r="C155" s="13" t="s">
        <v>111</v>
      </c>
      <c r="D155" s="13" t="s">
        <v>136</v>
      </c>
      <c r="E155" s="13" t="s">
        <v>200</v>
      </c>
      <c r="F155" s="13" t="s">
        <v>201</v>
      </c>
      <c r="G155" s="13"/>
      <c r="H155" s="13"/>
      <c r="I155" s="13" t="s">
        <v>1192</v>
      </c>
      <c r="J155" s="13" t="s">
        <v>203</v>
      </c>
      <c r="K155" s="13" t="s">
        <v>1193</v>
      </c>
    </row>
    <row r="156" ht="15.75" customHeight="1">
      <c r="A156" s="13" t="s">
        <v>1664</v>
      </c>
      <c r="B156" s="13" t="s">
        <v>1665</v>
      </c>
      <c r="C156" s="13" t="s">
        <v>111</v>
      </c>
      <c r="D156" s="13" t="s">
        <v>83</v>
      </c>
      <c r="E156" s="13" t="s">
        <v>200</v>
      </c>
      <c r="F156" s="13" t="s">
        <v>201</v>
      </c>
      <c r="G156" s="13"/>
      <c r="H156" s="13"/>
      <c r="I156" s="13" t="s">
        <v>1192</v>
      </c>
      <c r="J156" s="13" t="s">
        <v>203</v>
      </c>
      <c r="K156" s="13" t="s">
        <v>1193</v>
      </c>
    </row>
    <row r="157" ht="15.75" customHeight="1">
      <c r="A157" s="13" t="s">
        <v>1664</v>
      </c>
      <c r="B157" s="13" t="s">
        <v>1665</v>
      </c>
      <c r="C157" s="13" t="s">
        <v>111</v>
      </c>
      <c r="D157" s="13" t="s">
        <v>136</v>
      </c>
      <c r="E157" s="13" t="s">
        <v>200</v>
      </c>
      <c r="F157" s="13" t="s">
        <v>201</v>
      </c>
      <c r="G157" s="13"/>
      <c r="H157" s="13"/>
      <c r="I157" s="13" t="s">
        <v>1192</v>
      </c>
      <c r="J157" s="13" t="s">
        <v>203</v>
      </c>
      <c r="K157" s="13" t="s">
        <v>1193</v>
      </c>
    </row>
    <row r="158" ht="15.75" customHeight="1">
      <c r="A158" s="13" t="s">
        <v>1679</v>
      </c>
      <c r="B158" s="13" t="s">
        <v>1680</v>
      </c>
      <c r="C158" s="13" t="s">
        <v>111</v>
      </c>
      <c r="D158" s="13" t="s">
        <v>83</v>
      </c>
      <c r="E158" s="13" t="s">
        <v>1070</v>
      </c>
      <c r="F158" s="13">
        <v>20.0</v>
      </c>
      <c r="G158" s="13" t="s">
        <v>1683</v>
      </c>
      <c r="H158" s="13" t="s">
        <v>1072</v>
      </c>
      <c r="I158" s="13" t="s">
        <v>1536</v>
      </c>
      <c r="J158" s="13" t="s">
        <v>1537</v>
      </c>
      <c r="K158" s="13" t="s">
        <v>1539</v>
      </c>
    </row>
    <row r="159" ht="15.75" customHeight="1">
      <c r="A159" s="13" t="s">
        <v>1679</v>
      </c>
      <c r="B159" s="13" t="s">
        <v>1680</v>
      </c>
      <c r="C159" s="13" t="s">
        <v>111</v>
      </c>
      <c r="D159" s="13" t="s">
        <v>136</v>
      </c>
      <c r="E159" s="13" t="s">
        <v>200</v>
      </c>
      <c r="F159" s="13">
        <v>100.0</v>
      </c>
      <c r="G159" s="13" t="s">
        <v>1683</v>
      </c>
      <c r="H159" s="13" t="s">
        <v>1072</v>
      </c>
      <c r="I159" s="13" t="s">
        <v>1192</v>
      </c>
      <c r="J159" s="13" t="s">
        <v>1537</v>
      </c>
      <c r="K159" s="13" t="s">
        <v>1539</v>
      </c>
    </row>
    <row r="160" ht="15.75" customHeight="1">
      <c r="A160" s="13" t="s">
        <v>1692</v>
      </c>
      <c r="B160" s="13" t="s">
        <v>1694</v>
      </c>
      <c r="C160" s="13" t="s">
        <v>111</v>
      </c>
      <c r="D160" s="13" t="s">
        <v>83</v>
      </c>
      <c r="E160" s="13" t="s">
        <v>1070</v>
      </c>
      <c r="F160" s="13" t="s">
        <v>201</v>
      </c>
      <c r="G160" s="13"/>
      <c r="H160" s="13"/>
      <c r="I160" s="13" t="s">
        <v>1700</v>
      </c>
      <c r="J160" s="13" t="s">
        <v>203</v>
      </c>
      <c r="K160" s="13" t="s">
        <v>1702</v>
      </c>
    </row>
    <row r="161" ht="15.75" customHeight="1">
      <c r="A161" s="13" t="s">
        <v>1692</v>
      </c>
      <c r="B161" s="13" t="s">
        <v>1694</v>
      </c>
      <c r="C161" s="13" t="s">
        <v>111</v>
      </c>
      <c r="D161" s="13" t="s">
        <v>136</v>
      </c>
      <c r="E161" s="13" t="s">
        <v>200</v>
      </c>
      <c r="F161" s="13" t="s">
        <v>201</v>
      </c>
      <c r="G161" s="13"/>
      <c r="H161" s="13"/>
      <c r="I161" s="13" t="s">
        <v>1709</v>
      </c>
      <c r="J161" s="13" t="s">
        <v>203</v>
      </c>
      <c r="K161" s="13" t="s">
        <v>1702</v>
      </c>
    </row>
    <row r="162" ht="15.75" customHeight="1">
      <c r="A162" s="13" t="s">
        <v>1713</v>
      </c>
      <c r="B162" s="13" t="s">
        <v>1714</v>
      </c>
      <c r="C162" s="13" t="s">
        <v>111</v>
      </c>
      <c r="D162" s="13" t="s">
        <v>83</v>
      </c>
      <c r="E162" s="13" t="s">
        <v>200</v>
      </c>
      <c r="F162" s="13" t="s">
        <v>201</v>
      </c>
      <c r="G162" s="13"/>
      <c r="H162" s="13"/>
      <c r="I162" s="13" t="s">
        <v>1192</v>
      </c>
      <c r="J162" s="13" t="s">
        <v>203</v>
      </c>
      <c r="K162" s="13" t="s">
        <v>1193</v>
      </c>
    </row>
    <row r="163" ht="15.75" customHeight="1">
      <c r="A163" s="13" t="s">
        <v>1713</v>
      </c>
      <c r="B163" s="13" t="s">
        <v>1714</v>
      </c>
      <c r="C163" s="13" t="s">
        <v>111</v>
      </c>
      <c r="D163" s="13" t="s">
        <v>136</v>
      </c>
      <c r="E163" s="13" t="s">
        <v>200</v>
      </c>
      <c r="F163" s="13" t="s">
        <v>201</v>
      </c>
      <c r="G163" s="13"/>
      <c r="H163" s="13"/>
      <c r="I163" s="13" t="s">
        <v>1192</v>
      </c>
      <c r="J163" s="13" t="s">
        <v>203</v>
      </c>
      <c r="K163" s="13" t="s">
        <v>1193</v>
      </c>
    </row>
    <row r="164" ht="15.75" customHeight="1">
      <c r="A164" s="13" t="s">
        <v>1733</v>
      </c>
      <c r="B164" s="13" t="s">
        <v>1735</v>
      </c>
      <c r="C164" s="13" t="s">
        <v>111</v>
      </c>
      <c r="D164" s="13" t="s">
        <v>83</v>
      </c>
      <c r="E164" s="13" t="s">
        <v>200</v>
      </c>
      <c r="F164" s="13" t="s">
        <v>201</v>
      </c>
      <c r="G164" s="13"/>
      <c r="H164" s="13"/>
      <c r="I164" s="13" t="s">
        <v>1192</v>
      </c>
      <c r="J164" s="13" t="s">
        <v>203</v>
      </c>
      <c r="K164" s="13" t="s">
        <v>1193</v>
      </c>
    </row>
    <row r="165" ht="15.75" customHeight="1">
      <c r="A165" s="13" t="s">
        <v>1733</v>
      </c>
      <c r="B165" s="13" t="s">
        <v>1735</v>
      </c>
      <c r="C165" s="13" t="s">
        <v>111</v>
      </c>
      <c r="D165" s="13" t="s">
        <v>136</v>
      </c>
      <c r="E165" s="13" t="s">
        <v>200</v>
      </c>
      <c r="F165" s="13" t="s">
        <v>201</v>
      </c>
      <c r="G165" s="13"/>
      <c r="H165" s="13"/>
      <c r="I165" s="13" t="s">
        <v>1192</v>
      </c>
      <c r="J165" s="13" t="s">
        <v>203</v>
      </c>
      <c r="K165" s="13" t="s">
        <v>1193</v>
      </c>
    </row>
    <row r="166" ht="15.75" customHeight="1">
      <c r="A166" s="13" t="s">
        <v>1762</v>
      </c>
      <c r="B166" s="13" t="s">
        <v>1763</v>
      </c>
      <c r="C166" s="13" t="s">
        <v>111</v>
      </c>
      <c r="D166" s="13" t="s">
        <v>83</v>
      </c>
      <c r="E166" s="13" t="s">
        <v>200</v>
      </c>
      <c r="F166" s="13" t="s">
        <v>201</v>
      </c>
      <c r="G166" s="13"/>
      <c r="H166" s="13"/>
      <c r="I166" s="13" t="s">
        <v>1192</v>
      </c>
      <c r="J166" s="13" t="s">
        <v>203</v>
      </c>
      <c r="K166" s="13" t="s">
        <v>1193</v>
      </c>
    </row>
    <row r="167" ht="15.75" customHeight="1">
      <c r="A167" s="13" t="s">
        <v>1762</v>
      </c>
      <c r="B167" s="13" t="s">
        <v>1763</v>
      </c>
      <c r="C167" s="13" t="s">
        <v>111</v>
      </c>
      <c r="D167" s="13" t="s">
        <v>136</v>
      </c>
      <c r="E167" s="13" t="s">
        <v>200</v>
      </c>
      <c r="F167" s="13" t="s">
        <v>201</v>
      </c>
      <c r="G167" s="13"/>
      <c r="H167" s="13"/>
      <c r="I167" s="13" t="s">
        <v>1192</v>
      </c>
      <c r="J167" s="13" t="s">
        <v>203</v>
      </c>
      <c r="K167" s="13" t="s">
        <v>1193</v>
      </c>
    </row>
    <row r="168" ht="15.75" customHeight="1">
      <c r="A168" s="13" t="s">
        <v>1780</v>
      </c>
      <c r="B168" s="13" t="s">
        <v>1782</v>
      </c>
      <c r="C168" s="13" t="s">
        <v>111</v>
      </c>
      <c r="D168" s="13" t="s">
        <v>83</v>
      </c>
      <c r="E168" s="13" t="s">
        <v>200</v>
      </c>
      <c r="F168" s="13" t="s">
        <v>201</v>
      </c>
      <c r="G168" s="13"/>
      <c r="H168" s="13"/>
      <c r="I168" s="13" t="s">
        <v>1192</v>
      </c>
      <c r="J168" s="13" t="s">
        <v>203</v>
      </c>
      <c r="K168" s="13" t="s">
        <v>1193</v>
      </c>
    </row>
    <row r="169" ht="15.75" customHeight="1">
      <c r="A169" s="13" t="s">
        <v>1780</v>
      </c>
      <c r="B169" s="13" t="s">
        <v>1782</v>
      </c>
      <c r="C169" s="13" t="s">
        <v>111</v>
      </c>
      <c r="D169" s="13" t="s">
        <v>136</v>
      </c>
      <c r="E169" s="13" t="s">
        <v>200</v>
      </c>
      <c r="F169" s="13" t="s">
        <v>201</v>
      </c>
      <c r="G169" s="13"/>
      <c r="H169" s="13"/>
      <c r="I169" s="13" t="s">
        <v>1192</v>
      </c>
      <c r="J169" s="13" t="s">
        <v>203</v>
      </c>
      <c r="K169" s="13" t="s">
        <v>1193</v>
      </c>
    </row>
    <row r="170" ht="15.75" customHeight="1">
      <c r="A170" s="13" t="s">
        <v>1798</v>
      </c>
      <c r="B170" s="13" t="s">
        <v>1801</v>
      </c>
      <c r="C170" s="13" t="s">
        <v>111</v>
      </c>
      <c r="D170" s="13" t="s">
        <v>83</v>
      </c>
      <c r="E170" s="13" t="s">
        <v>200</v>
      </c>
      <c r="F170" s="13" t="s">
        <v>201</v>
      </c>
      <c r="G170" s="13"/>
      <c r="H170" s="13"/>
      <c r="I170" s="13" t="s">
        <v>1192</v>
      </c>
      <c r="J170" s="13" t="s">
        <v>203</v>
      </c>
      <c r="K170" s="13" t="s">
        <v>1193</v>
      </c>
    </row>
    <row r="171" ht="15.75" customHeight="1">
      <c r="A171" s="13" t="s">
        <v>1798</v>
      </c>
      <c r="B171" s="13" t="s">
        <v>1801</v>
      </c>
      <c r="C171" s="13" t="s">
        <v>111</v>
      </c>
      <c r="D171" s="13" t="s">
        <v>136</v>
      </c>
      <c r="E171" s="13" t="s">
        <v>200</v>
      </c>
      <c r="F171" s="13" t="s">
        <v>201</v>
      </c>
      <c r="G171" s="13"/>
      <c r="H171" s="13"/>
      <c r="I171" s="13" t="s">
        <v>1192</v>
      </c>
      <c r="J171" s="13" t="s">
        <v>203</v>
      </c>
      <c r="K171" s="13" t="s">
        <v>1193</v>
      </c>
    </row>
    <row r="172" ht="15.75" customHeight="1">
      <c r="A172" s="13" t="s">
        <v>1819</v>
      </c>
      <c r="B172" s="13" t="s">
        <v>1820</v>
      </c>
      <c r="C172" s="13" t="s">
        <v>111</v>
      </c>
      <c r="D172" s="13" t="s">
        <v>83</v>
      </c>
      <c r="E172" s="13" t="s">
        <v>200</v>
      </c>
      <c r="F172" s="13" t="s">
        <v>201</v>
      </c>
      <c r="G172" s="13"/>
      <c r="H172" s="13"/>
      <c r="I172" s="13" t="s">
        <v>1192</v>
      </c>
      <c r="J172" s="13" t="s">
        <v>203</v>
      </c>
      <c r="K172" s="13" t="s">
        <v>1193</v>
      </c>
    </row>
    <row r="173" ht="15.75" customHeight="1">
      <c r="A173" s="13" t="s">
        <v>1819</v>
      </c>
      <c r="B173" s="13" t="s">
        <v>1820</v>
      </c>
      <c r="C173" s="13" t="s">
        <v>111</v>
      </c>
      <c r="D173" s="13" t="s">
        <v>136</v>
      </c>
      <c r="E173" s="13" t="s">
        <v>200</v>
      </c>
      <c r="F173" s="13" t="s">
        <v>201</v>
      </c>
      <c r="G173" s="13"/>
      <c r="H173" s="13"/>
      <c r="I173" s="13" t="s">
        <v>1192</v>
      </c>
      <c r="J173" s="13" t="s">
        <v>203</v>
      </c>
      <c r="K173" s="13" t="s">
        <v>1193</v>
      </c>
    </row>
    <row r="174" ht="15.75" customHeight="1">
      <c r="A174" s="13" t="s">
        <v>1857</v>
      </c>
      <c r="B174" s="13" t="s">
        <v>1860</v>
      </c>
      <c r="C174" s="13" t="s">
        <v>111</v>
      </c>
      <c r="D174" s="13" t="s">
        <v>83</v>
      </c>
      <c r="E174" s="13" t="s">
        <v>1313</v>
      </c>
      <c r="F174" s="13" t="s">
        <v>203</v>
      </c>
      <c r="G174" s="13"/>
      <c r="H174" s="13"/>
      <c r="I174" s="13" t="s">
        <v>1319</v>
      </c>
      <c r="J174" s="13" t="s">
        <v>203</v>
      </c>
      <c r="K174" s="13" t="s">
        <v>203</v>
      </c>
    </row>
    <row r="175" ht="15.75" customHeight="1">
      <c r="A175" s="13" t="s">
        <v>1857</v>
      </c>
      <c r="B175" s="13" t="s">
        <v>1860</v>
      </c>
      <c r="C175" s="13" t="s">
        <v>111</v>
      </c>
      <c r="D175" s="13" t="s">
        <v>136</v>
      </c>
      <c r="E175" s="13" t="s">
        <v>200</v>
      </c>
      <c r="F175" s="13" t="s">
        <v>201</v>
      </c>
      <c r="G175" s="13"/>
      <c r="H175" s="13"/>
      <c r="I175" s="13" t="s">
        <v>1329</v>
      </c>
      <c r="J175" s="13" t="s">
        <v>203</v>
      </c>
      <c r="K175" s="13" t="s">
        <v>1332</v>
      </c>
    </row>
    <row r="176" ht="15.75" customHeight="1">
      <c r="A176" s="13" t="s">
        <v>1880</v>
      </c>
      <c r="B176" s="13" t="s">
        <v>1881</v>
      </c>
      <c r="C176" s="13" t="s">
        <v>111</v>
      </c>
      <c r="D176" s="13" t="s">
        <v>83</v>
      </c>
      <c r="E176" s="13" t="s">
        <v>1313</v>
      </c>
      <c r="F176" s="13" t="s">
        <v>203</v>
      </c>
      <c r="G176" s="13"/>
      <c r="H176" s="13"/>
      <c r="I176" s="13" t="s">
        <v>1319</v>
      </c>
      <c r="J176" s="13" t="s">
        <v>203</v>
      </c>
      <c r="K176" s="13" t="s">
        <v>203</v>
      </c>
    </row>
    <row r="177" ht="15.75" customHeight="1">
      <c r="A177" s="13" t="s">
        <v>1880</v>
      </c>
      <c r="B177" s="13" t="s">
        <v>1881</v>
      </c>
      <c r="C177" s="13" t="s">
        <v>111</v>
      </c>
      <c r="D177" s="13" t="s">
        <v>136</v>
      </c>
      <c r="E177" s="13" t="s">
        <v>200</v>
      </c>
      <c r="F177" s="13" t="s">
        <v>201</v>
      </c>
      <c r="G177" s="13"/>
      <c r="H177" s="13"/>
      <c r="I177" s="13" t="s">
        <v>1329</v>
      </c>
      <c r="J177" s="13" t="s">
        <v>203</v>
      </c>
      <c r="K177" s="13" t="s">
        <v>1332</v>
      </c>
    </row>
    <row r="178" ht="15.75" customHeight="1">
      <c r="A178" s="13" t="s">
        <v>1882</v>
      </c>
      <c r="B178" s="13" t="s">
        <v>1883</v>
      </c>
      <c r="C178" s="13" t="s">
        <v>111</v>
      </c>
      <c r="D178" s="13" t="s">
        <v>83</v>
      </c>
      <c r="E178" s="13" t="s">
        <v>1313</v>
      </c>
      <c r="F178" s="13" t="s">
        <v>203</v>
      </c>
      <c r="G178" s="13"/>
      <c r="H178" s="13"/>
      <c r="I178" s="13" t="s">
        <v>1319</v>
      </c>
      <c r="J178" s="13" t="s">
        <v>203</v>
      </c>
      <c r="K178" s="13" t="s">
        <v>203</v>
      </c>
    </row>
    <row r="179" ht="15.75" customHeight="1">
      <c r="A179" s="13" t="s">
        <v>1882</v>
      </c>
      <c r="B179" s="13" t="s">
        <v>1883</v>
      </c>
      <c r="C179" s="13" t="s">
        <v>111</v>
      </c>
      <c r="D179" s="13" t="s">
        <v>136</v>
      </c>
      <c r="E179" s="13" t="s">
        <v>200</v>
      </c>
      <c r="F179" s="13" t="s">
        <v>201</v>
      </c>
      <c r="G179" s="13"/>
      <c r="H179" s="13"/>
      <c r="I179" s="13" t="s">
        <v>1329</v>
      </c>
      <c r="J179" s="13" t="s">
        <v>203</v>
      </c>
      <c r="K179" s="13" t="s">
        <v>1332</v>
      </c>
    </row>
    <row r="180" ht="15.75" customHeight="1">
      <c r="A180" s="13" t="s">
        <v>1884</v>
      </c>
      <c r="B180" s="13" t="s">
        <v>1885</v>
      </c>
      <c r="C180" s="13" t="s">
        <v>111</v>
      </c>
      <c r="D180" s="13" t="s">
        <v>83</v>
      </c>
      <c r="E180" s="13" t="s">
        <v>1313</v>
      </c>
      <c r="F180" s="13" t="s">
        <v>203</v>
      </c>
      <c r="G180" s="13"/>
      <c r="H180" s="13"/>
      <c r="I180" s="13" t="s">
        <v>1319</v>
      </c>
      <c r="J180" s="13" t="s">
        <v>203</v>
      </c>
      <c r="K180" s="13" t="s">
        <v>203</v>
      </c>
    </row>
    <row r="181" ht="15.75" customHeight="1">
      <c r="A181" s="13" t="s">
        <v>1884</v>
      </c>
      <c r="B181" s="13" t="s">
        <v>1885</v>
      </c>
      <c r="C181" s="13" t="s">
        <v>111</v>
      </c>
      <c r="D181" s="13" t="s">
        <v>136</v>
      </c>
      <c r="E181" s="13" t="s">
        <v>200</v>
      </c>
      <c r="F181" s="13" t="s">
        <v>201</v>
      </c>
      <c r="G181" s="13"/>
      <c r="H181" s="13"/>
      <c r="I181" s="13" t="s">
        <v>1329</v>
      </c>
      <c r="J181" s="13" t="s">
        <v>203</v>
      </c>
      <c r="K181" s="13" t="s">
        <v>1332</v>
      </c>
    </row>
    <row r="182" ht="15.75" customHeight="1">
      <c r="A182" s="13" t="s">
        <v>1886</v>
      </c>
      <c r="B182" s="13" t="s">
        <v>1887</v>
      </c>
      <c r="C182" s="13" t="s">
        <v>111</v>
      </c>
      <c r="D182" s="13" t="s">
        <v>83</v>
      </c>
      <c r="E182" s="13" t="s">
        <v>1313</v>
      </c>
      <c r="F182" s="13" t="s">
        <v>203</v>
      </c>
      <c r="G182" s="13"/>
      <c r="H182" s="13"/>
      <c r="I182" s="13" t="s">
        <v>1319</v>
      </c>
      <c r="J182" s="13" t="s">
        <v>203</v>
      </c>
      <c r="K182" s="13" t="s">
        <v>203</v>
      </c>
    </row>
    <row r="183" ht="15.75" customHeight="1">
      <c r="A183" s="13" t="s">
        <v>1886</v>
      </c>
      <c r="B183" s="13" t="s">
        <v>1887</v>
      </c>
      <c r="C183" s="13" t="s">
        <v>111</v>
      </c>
      <c r="D183" s="13" t="s">
        <v>136</v>
      </c>
      <c r="E183" s="13" t="s">
        <v>200</v>
      </c>
      <c r="F183" s="13" t="s">
        <v>201</v>
      </c>
      <c r="G183" s="13"/>
      <c r="H183" s="13"/>
      <c r="I183" s="13" t="s">
        <v>1329</v>
      </c>
      <c r="J183" s="13" t="s">
        <v>203</v>
      </c>
      <c r="K183" s="13" t="s">
        <v>1332</v>
      </c>
    </row>
    <row r="184" ht="15.75" customHeight="1">
      <c r="A184" s="13" t="s">
        <v>1888</v>
      </c>
      <c r="B184" s="13" t="s">
        <v>1889</v>
      </c>
      <c r="C184" s="13" t="s">
        <v>111</v>
      </c>
      <c r="D184" s="13" t="s">
        <v>83</v>
      </c>
      <c r="E184" s="13" t="s">
        <v>1313</v>
      </c>
      <c r="F184" s="13" t="s">
        <v>203</v>
      </c>
      <c r="G184" s="13"/>
      <c r="H184" s="13"/>
      <c r="I184" s="13" t="s">
        <v>1319</v>
      </c>
      <c r="J184" s="13" t="s">
        <v>203</v>
      </c>
      <c r="K184" s="13" t="s">
        <v>203</v>
      </c>
    </row>
    <row r="185" ht="15.75" customHeight="1">
      <c r="A185" s="13" t="s">
        <v>1888</v>
      </c>
      <c r="B185" s="13" t="s">
        <v>1889</v>
      </c>
      <c r="C185" s="13" t="s">
        <v>111</v>
      </c>
      <c r="D185" s="13" t="s">
        <v>136</v>
      </c>
      <c r="E185" s="13" t="s">
        <v>200</v>
      </c>
      <c r="F185" s="13" t="s">
        <v>201</v>
      </c>
      <c r="G185" s="13"/>
      <c r="H185" s="13"/>
      <c r="I185" s="13" t="s">
        <v>1329</v>
      </c>
      <c r="J185" s="13" t="s">
        <v>203</v>
      </c>
      <c r="K185" s="13" t="s">
        <v>1332</v>
      </c>
    </row>
    <row r="186" ht="15.75" customHeight="1">
      <c r="A186" s="13" t="s">
        <v>1890</v>
      </c>
      <c r="B186" s="13" t="s">
        <v>1891</v>
      </c>
      <c r="C186" s="13" t="s">
        <v>111</v>
      </c>
      <c r="D186" s="13" t="s">
        <v>83</v>
      </c>
      <c r="E186" s="13" t="s">
        <v>1313</v>
      </c>
      <c r="F186" s="13" t="s">
        <v>203</v>
      </c>
      <c r="G186" s="13"/>
      <c r="H186" s="13"/>
      <c r="I186" s="13" t="s">
        <v>1319</v>
      </c>
      <c r="J186" s="13" t="s">
        <v>203</v>
      </c>
      <c r="K186" s="13" t="s">
        <v>203</v>
      </c>
    </row>
    <row r="187" ht="15.75" customHeight="1">
      <c r="A187" s="13" t="s">
        <v>1890</v>
      </c>
      <c r="B187" s="13" t="s">
        <v>1891</v>
      </c>
      <c r="C187" s="13" t="s">
        <v>111</v>
      </c>
      <c r="D187" s="13" t="s">
        <v>136</v>
      </c>
      <c r="E187" s="13" t="s">
        <v>200</v>
      </c>
      <c r="F187" s="13" t="s">
        <v>201</v>
      </c>
      <c r="G187" s="13"/>
      <c r="H187" s="13"/>
      <c r="I187" s="13" t="s">
        <v>1329</v>
      </c>
      <c r="J187" s="13" t="s">
        <v>203</v>
      </c>
      <c r="K187" s="13" t="s">
        <v>1332</v>
      </c>
    </row>
    <row r="188" ht="15.75" customHeight="1">
      <c r="A188" s="13" t="s">
        <v>1892</v>
      </c>
      <c r="B188" s="13" t="s">
        <v>1893</v>
      </c>
      <c r="C188" s="13" t="s">
        <v>111</v>
      </c>
      <c r="D188" s="13" t="s">
        <v>83</v>
      </c>
      <c r="E188" s="13" t="s">
        <v>1313</v>
      </c>
      <c r="F188" s="13" t="s">
        <v>203</v>
      </c>
      <c r="G188" s="13"/>
      <c r="H188" s="13"/>
      <c r="I188" s="13" t="s">
        <v>1319</v>
      </c>
      <c r="J188" s="13" t="s">
        <v>203</v>
      </c>
      <c r="K188" s="13" t="s">
        <v>203</v>
      </c>
    </row>
    <row r="189" ht="15.75" customHeight="1">
      <c r="A189" s="13" t="s">
        <v>1892</v>
      </c>
      <c r="B189" s="13" t="s">
        <v>1893</v>
      </c>
      <c r="C189" s="13" t="s">
        <v>111</v>
      </c>
      <c r="D189" s="13" t="s">
        <v>136</v>
      </c>
      <c r="E189" s="13" t="s">
        <v>200</v>
      </c>
      <c r="F189" s="13" t="s">
        <v>201</v>
      </c>
      <c r="G189" s="13"/>
      <c r="H189" s="13"/>
      <c r="I189" s="13" t="s">
        <v>1329</v>
      </c>
      <c r="J189" s="13" t="s">
        <v>203</v>
      </c>
      <c r="K189" s="13" t="s">
        <v>1332</v>
      </c>
    </row>
    <row r="190" ht="15.75" customHeight="1">
      <c r="A190" s="13" t="s">
        <v>1894</v>
      </c>
      <c r="B190" s="13" t="s">
        <v>1895</v>
      </c>
      <c r="C190" s="13" t="s">
        <v>111</v>
      </c>
      <c r="D190" s="13" t="s">
        <v>83</v>
      </c>
      <c r="E190" s="13" t="s">
        <v>1313</v>
      </c>
      <c r="F190" s="13" t="s">
        <v>203</v>
      </c>
      <c r="G190" s="13"/>
      <c r="H190" s="13"/>
      <c r="I190" s="13" t="s">
        <v>1319</v>
      </c>
      <c r="J190" s="13" t="s">
        <v>203</v>
      </c>
      <c r="K190" s="13" t="s">
        <v>203</v>
      </c>
    </row>
    <row r="191" ht="15.75" customHeight="1">
      <c r="A191" s="13" t="s">
        <v>1894</v>
      </c>
      <c r="B191" s="13" t="s">
        <v>1895</v>
      </c>
      <c r="C191" s="13" t="s">
        <v>111</v>
      </c>
      <c r="D191" s="13" t="s">
        <v>136</v>
      </c>
      <c r="E191" s="13" t="s">
        <v>200</v>
      </c>
      <c r="F191" s="13" t="s">
        <v>201</v>
      </c>
      <c r="G191" s="13"/>
      <c r="H191" s="13"/>
      <c r="I191" s="13" t="s">
        <v>1329</v>
      </c>
      <c r="J191" s="13" t="s">
        <v>203</v>
      </c>
      <c r="K191" s="13" t="s">
        <v>1332</v>
      </c>
    </row>
    <row r="192" ht="15.75" customHeight="1">
      <c r="A192" s="13" t="s">
        <v>1896</v>
      </c>
      <c r="B192" s="13" t="s">
        <v>1897</v>
      </c>
      <c r="C192" s="13" t="s">
        <v>111</v>
      </c>
      <c r="D192" s="13" t="s">
        <v>83</v>
      </c>
      <c r="E192" s="13" t="s">
        <v>1313</v>
      </c>
      <c r="F192" s="13" t="s">
        <v>203</v>
      </c>
      <c r="G192" s="13"/>
      <c r="H192" s="13"/>
      <c r="I192" s="13" t="s">
        <v>1319</v>
      </c>
      <c r="J192" s="13" t="s">
        <v>203</v>
      </c>
      <c r="K192" s="13" t="s">
        <v>203</v>
      </c>
    </row>
    <row r="193" ht="15.75" customHeight="1">
      <c r="A193" s="13" t="s">
        <v>1896</v>
      </c>
      <c r="B193" s="13" t="s">
        <v>1897</v>
      </c>
      <c r="C193" s="13" t="s">
        <v>111</v>
      </c>
      <c r="D193" s="13" t="s">
        <v>136</v>
      </c>
      <c r="E193" s="13" t="s">
        <v>200</v>
      </c>
      <c r="F193" s="13" t="s">
        <v>201</v>
      </c>
      <c r="G193" s="13"/>
      <c r="H193" s="13"/>
      <c r="I193" s="13" t="s">
        <v>1329</v>
      </c>
      <c r="J193" s="13" t="s">
        <v>203</v>
      </c>
      <c r="K193" s="13" t="s">
        <v>1332</v>
      </c>
    </row>
    <row r="194" ht="15.75" customHeight="1">
      <c r="A194" s="13" t="s">
        <v>1898</v>
      </c>
      <c r="B194" s="13" t="s">
        <v>1899</v>
      </c>
      <c r="C194" s="13" t="s">
        <v>111</v>
      </c>
      <c r="D194" s="13" t="s">
        <v>83</v>
      </c>
      <c r="E194" s="13" t="s">
        <v>1313</v>
      </c>
      <c r="F194" s="13" t="s">
        <v>203</v>
      </c>
      <c r="G194" s="13"/>
      <c r="H194" s="13"/>
      <c r="I194" s="13" t="s">
        <v>1319</v>
      </c>
      <c r="J194" s="13" t="s">
        <v>203</v>
      </c>
      <c r="K194" s="13" t="s">
        <v>203</v>
      </c>
    </row>
    <row r="195" ht="15.75" customHeight="1">
      <c r="A195" s="13" t="s">
        <v>1898</v>
      </c>
      <c r="B195" s="13" t="s">
        <v>1899</v>
      </c>
      <c r="C195" s="13" t="s">
        <v>111</v>
      </c>
      <c r="D195" s="13" t="s">
        <v>136</v>
      </c>
      <c r="E195" s="13" t="s">
        <v>200</v>
      </c>
      <c r="F195" s="13" t="s">
        <v>201</v>
      </c>
      <c r="G195" s="13"/>
      <c r="H195" s="13"/>
      <c r="I195" s="13" t="s">
        <v>1329</v>
      </c>
      <c r="J195" s="13" t="s">
        <v>203</v>
      </c>
      <c r="K195" s="13" t="s">
        <v>1332</v>
      </c>
    </row>
    <row r="196" ht="15.75" customHeight="1">
      <c r="A196" s="13" t="s">
        <v>1900</v>
      </c>
      <c r="B196" s="13" t="s">
        <v>1901</v>
      </c>
      <c r="C196" s="13" t="s">
        <v>111</v>
      </c>
      <c r="D196" s="13" t="s">
        <v>83</v>
      </c>
      <c r="E196" s="13" t="s">
        <v>1313</v>
      </c>
      <c r="F196" s="13" t="s">
        <v>203</v>
      </c>
      <c r="G196" s="13"/>
      <c r="H196" s="13"/>
      <c r="I196" s="13" t="s">
        <v>1319</v>
      </c>
      <c r="J196" s="13" t="s">
        <v>203</v>
      </c>
      <c r="K196" s="13" t="s">
        <v>203</v>
      </c>
    </row>
    <row r="197" ht="15.75" customHeight="1">
      <c r="A197" s="13" t="s">
        <v>1900</v>
      </c>
      <c r="B197" s="13" t="s">
        <v>1901</v>
      </c>
      <c r="C197" s="13" t="s">
        <v>111</v>
      </c>
      <c r="D197" s="13" t="s">
        <v>136</v>
      </c>
      <c r="E197" s="13" t="s">
        <v>200</v>
      </c>
      <c r="F197" s="13" t="s">
        <v>201</v>
      </c>
      <c r="G197" s="13"/>
      <c r="H197" s="13"/>
      <c r="I197" s="13" t="s">
        <v>1329</v>
      </c>
      <c r="J197" s="13" t="s">
        <v>203</v>
      </c>
      <c r="K197" s="13" t="s">
        <v>1332</v>
      </c>
    </row>
    <row r="198" ht="15.75" customHeight="1">
      <c r="A198" s="13" t="s">
        <v>1902</v>
      </c>
      <c r="B198" s="13" t="s">
        <v>1903</v>
      </c>
      <c r="C198" s="13" t="s">
        <v>111</v>
      </c>
      <c r="D198" s="13" t="s">
        <v>83</v>
      </c>
      <c r="E198" s="13" t="s">
        <v>1313</v>
      </c>
      <c r="F198" s="13" t="s">
        <v>203</v>
      </c>
      <c r="G198" s="13"/>
      <c r="H198" s="13"/>
      <c r="I198" s="13" t="s">
        <v>1319</v>
      </c>
      <c r="J198" s="13" t="s">
        <v>203</v>
      </c>
      <c r="K198" s="13" t="s">
        <v>203</v>
      </c>
    </row>
    <row r="199" ht="15.75" customHeight="1">
      <c r="A199" s="13" t="s">
        <v>1902</v>
      </c>
      <c r="B199" s="13" t="s">
        <v>1903</v>
      </c>
      <c r="C199" s="13" t="s">
        <v>111</v>
      </c>
      <c r="D199" s="13" t="s">
        <v>136</v>
      </c>
      <c r="E199" s="13" t="s">
        <v>200</v>
      </c>
      <c r="F199" s="13" t="s">
        <v>201</v>
      </c>
      <c r="G199" s="13"/>
      <c r="H199" s="13"/>
      <c r="I199" s="13" t="s">
        <v>1329</v>
      </c>
      <c r="J199" s="13" t="s">
        <v>203</v>
      </c>
      <c r="K199" s="13" t="s">
        <v>1332</v>
      </c>
    </row>
    <row r="200" ht="15.75" customHeight="1">
      <c r="A200" s="13" t="s">
        <v>1904</v>
      </c>
      <c r="B200" s="13" t="s">
        <v>1905</v>
      </c>
      <c r="C200" s="13" t="s">
        <v>111</v>
      </c>
      <c r="D200" s="13" t="s">
        <v>83</v>
      </c>
      <c r="E200" s="13" t="s">
        <v>200</v>
      </c>
      <c r="F200" s="13" t="s">
        <v>201</v>
      </c>
      <c r="G200" s="13"/>
      <c r="H200" s="13"/>
      <c r="I200" s="13" t="s">
        <v>1192</v>
      </c>
      <c r="J200" s="13" t="s">
        <v>203</v>
      </c>
      <c r="K200" s="13" t="s">
        <v>1193</v>
      </c>
    </row>
    <row r="201" ht="15.75" customHeight="1">
      <c r="A201" s="13" t="s">
        <v>1904</v>
      </c>
      <c r="B201" s="13" t="s">
        <v>1905</v>
      </c>
      <c r="C201" s="13" t="s">
        <v>111</v>
      </c>
      <c r="D201" s="13" t="s">
        <v>136</v>
      </c>
      <c r="E201" s="13" t="s">
        <v>200</v>
      </c>
      <c r="F201" s="13" t="s">
        <v>201</v>
      </c>
      <c r="G201" s="13"/>
      <c r="H201" s="13"/>
      <c r="I201" s="13" t="s">
        <v>1192</v>
      </c>
      <c r="J201" s="13" t="s">
        <v>203</v>
      </c>
      <c r="K201" s="13" t="s">
        <v>1193</v>
      </c>
    </row>
    <row r="202" ht="15.75" customHeight="1">
      <c r="A202" s="13" t="s">
        <v>1906</v>
      </c>
      <c r="B202" s="13" t="s">
        <v>1907</v>
      </c>
      <c r="C202" s="13" t="s">
        <v>111</v>
      </c>
      <c r="D202" s="13" t="s">
        <v>83</v>
      </c>
      <c r="E202" s="13" t="s">
        <v>1070</v>
      </c>
      <c r="F202" s="13">
        <v>5.0</v>
      </c>
      <c r="G202" s="13" t="s">
        <v>1908</v>
      </c>
      <c r="H202" s="13" t="s">
        <v>1535</v>
      </c>
      <c r="I202" s="13" t="s">
        <v>1536</v>
      </c>
      <c r="J202" s="13" t="s">
        <v>1537</v>
      </c>
      <c r="K202" s="13" t="s">
        <v>1539</v>
      </c>
    </row>
    <row r="203" ht="15.75" customHeight="1">
      <c r="A203" s="13" t="s">
        <v>1906</v>
      </c>
      <c r="B203" s="13" t="s">
        <v>1907</v>
      </c>
      <c r="C203" s="13" t="s">
        <v>111</v>
      </c>
      <c r="D203" s="13" t="s">
        <v>136</v>
      </c>
      <c r="E203" s="13" t="s">
        <v>200</v>
      </c>
      <c r="F203" s="13">
        <v>60.0</v>
      </c>
      <c r="G203" s="13" t="s">
        <v>1908</v>
      </c>
      <c r="H203" s="13" t="s">
        <v>1535</v>
      </c>
      <c r="I203" s="13" t="s">
        <v>1192</v>
      </c>
      <c r="J203" s="13" t="s">
        <v>1537</v>
      </c>
      <c r="K203" s="13" t="s">
        <v>1539</v>
      </c>
    </row>
    <row r="204" ht="15.75" customHeight="1">
      <c r="A204" s="13" t="s">
        <v>1909</v>
      </c>
      <c r="B204" s="13" t="s">
        <v>706</v>
      </c>
      <c r="C204" s="13" t="s">
        <v>111</v>
      </c>
      <c r="D204" s="13" t="s">
        <v>83</v>
      </c>
      <c r="E204" s="13" t="s">
        <v>200</v>
      </c>
      <c r="F204" s="13" t="s">
        <v>201</v>
      </c>
      <c r="G204" s="13"/>
      <c r="H204" s="13"/>
      <c r="I204" s="13" t="s">
        <v>1192</v>
      </c>
      <c r="J204" s="13" t="s">
        <v>203</v>
      </c>
      <c r="K204" s="13" t="s">
        <v>1193</v>
      </c>
    </row>
    <row r="205" ht="15.75" customHeight="1">
      <c r="A205" s="13" t="s">
        <v>1909</v>
      </c>
      <c r="B205" s="13" t="s">
        <v>706</v>
      </c>
      <c r="C205" s="13" t="s">
        <v>111</v>
      </c>
      <c r="D205" s="13" t="s">
        <v>136</v>
      </c>
      <c r="E205" s="13" t="s">
        <v>200</v>
      </c>
      <c r="F205" s="13" t="s">
        <v>201</v>
      </c>
      <c r="G205" s="13"/>
      <c r="H205" s="13"/>
      <c r="I205" s="13" t="s">
        <v>1192</v>
      </c>
      <c r="J205" s="13" t="s">
        <v>203</v>
      </c>
      <c r="K205" s="13" t="s">
        <v>1193</v>
      </c>
    </row>
    <row r="206" ht="15.75" customHeight="1">
      <c r="A206" s="13" t="s">
        <v>1910</v>
      </c>
      <c r="B206" s="13" t="s">
        <v>1911</v>
      </c>
      <c r="C206" s="13" t="s">
        <v>111</v>
      </c>
      <c r="D206" s="13" t="s">
        <v>83</v>
      </c>
      <c r="E206" s="13" t="s">
        <v>200</v>
      </c>
      <c r="F206" s="13" t="s">
        <v>201</v>
      </c>
      <c r="G206" s="13"/>
      <c r="H206" s="13"/>
      <c r="I206" s="13" t="s">
        <v>1192</v>
      </c>
      <c r="J206" s="13" t="s">
        <v>203</v>
      </c>
      <c r="K206" s="13" t="s">
        <v>1193</v>
      </c>
    </row>
    <row r="207" ht="15.75" customHeight="1">
      <c r="A207" s="13" t="s">
        <v>1910</v>
      </c>
      <c r="B207" s="13" t="s">
        <v>1911</v>
      </c>
      <c r="C207" s="13" t="s">
        <v>111</v>
      </c>
      <c r="D207" s="13" t="s">
        <v>136</v>
      </c>
      <c r="E207" s="13" t="s">
        <v>200</v>
      </c>
      <c r="F207" s="13" t="s">
        <v>201</v>
      </c>
      <c r="G207" s="13"/>
      <c r="H207" s="13"/>
      <c r="I207" s="13" t="s">
        <v>1192</v>
      </c>
      <c r="J207" s="13" t="s">
        <v>203</v>
      </c>
      <c r="K207" s="13" t="s">
        <v>1193</v>
      </c>
    </row>
    <row r="208" ht="15.75" customHeight="1">
      <c r="A208" s="13" t="s">
        <v>1912</v>
      </c>
      <c r="B208" s="13" t="s">
        <v>1913</v>
      </c>
      <c r="C208" s="13" t="s">
        <v>111</v>
      </c>
      <c r="D208" s="13" t="s">
        <v>83</v>
      </c>
      <c r="E208" s="13" t="s">
        <v>200</v>
      </c>
      <c r="F208" s="13" t="s">
        <v>201</v>
      </c>
      <c r="G208" s="13"/>
      <c r="H208" s="13"/>
      <c r="I208" s="13" t="s">
        <v>1192</v>
      </c>
      <c r="J208" s="13" t="s">
        <v>203</v>
      </c>
      <c r="K208" s="13" t="s">
        <v>1193</v>
      </c>
    </row>
    <row r="209" ht="15.75" customHeight="1">
      <c r="A209" s="13" t="s">
        <v>1912</v>
      </c>
      <c r="B209" s="13" t="s">
        <v>1913</v>
      </c>
      <c r="C209" s="13" t="s">
        <v>111</v>
      </c>
      <c r="D209" s="13" t="s">
        <v>136</v>
      </c>
      <c r="E209" s="13" t="s">
        <v>200</v>
      </c>
      <c r="F209" s="13" t="s">
        <v>201</v>
      </c>
      <c r="G209" s="13"/>
      <c r="H209" s="13"/>
      <c r="I209" s="13" t="s">
        <v>1192</v>
      </c>
      <c r="J209" s="13" t="s">
        <v>203</v>
      </c>
      <c r="K209" s="13" t="s">
        <v>1193</v>
      </c>
    </row>
    <row r="210" ht="15.75" customHeight="1">
      <c r="A210" s="13" t="s">
        <v>1914</v>
      </c>
      <c r="B210" s="13" t="s">
        <v>1915</v>
      </c>
      <c r="C210" s="13" t="s">
        <v>111</v>
      </c>
      <c r="D210" s="13" t="s">
        <v>83</v>
      </c>
      <c r="E210" s="13" t="s">
        <v>200</v>
      </c>
      <c r="F210" s="13" t="s">
        <v>201</v>
      </c>
      <c r="G210" s="13"/>
      <c r="H210" s="13"/>
      <c r="I210" s="13" t="s">
        <v>1192</v>
      </c>
      <c r="J210" s="13" t="s">
        <v>203</v>
      </c>
      <c r="K210" s="13" t="s">
        <v>1193</v>
      </c>
    </row>
    <row r="211" ht="15.75" customHeight="1">
      <c r="A211" s="13" t="s">
        <v>1914</v>
      </c>
      <c r="B211" s="13" t="s">
        <v>1915</v>
      </c>
      <c r="C211" s="13" t="s">
        <v>111</v>
      </c>
      <c r="D211" s="13" t="s">
        <v>136</v>
      </c>
      <c r="E211" s="13" t="s">
        <v>200</v>
      </c>
      <c r="F211" s="13" t="s">
        <v>201</v>
      </c>
      <c r="G211" s="13"/>
      <c r="H211" s="13"/>
      <c r="I211" s="13" t="s">
        <v>1192</v>
      </c>
      <c r="J211" s="13" t="s">
        <v>203</v>
      </c>
      <c r="K211" s="13" t="s">
        <v>1193</v>
      </c>
    </row>
    <row r="212" ht="15.75" customHeight="1">
      <c r="A212" s="13" t="s">
        <v>1916</v>
      </c>
      <c r="B212" s="13" t="s">
        <v>1917</v>
      </c>
      <c r="C212" s="13" t="s">
        <v>111</v>
      </c>
      <c r="D212" s="13" t="s">
        <v>83</v>
      </c>
      <c r="E212" s="13" t="s">
        <v>200</v>
      </c>
      <c r="F212" s="13" t="s">
        <v>201</v>
      </c>
      <c r="G212" s="13"/>
      <c r="H212" s="13"/>
      <c r="I212" s="13" t="s">
        <v>1192</v>
      </c>
      <c r="J212" s="13" t="s">
        <v>203</v>
      </c>
      <c r="K212" s="13" t="s">
        <v>1193</v>
      </c>
    </row>
    <row r="213" ht="15.75" customHeight="1">
      <c r="A213" s="13" t="s">
        <v>1916</v>
      </c>
      <c r="B213" s="13" t="s">
        <v>1917</v>
      </c>
      <c r="C213" s="13" t="s">
        <v>111</v>
      </c>
      <c r="D213" s="13" t="s">
        <v>136</v>
      </c>
      <c r="E213" s="13" t="s">
        <v>200</v>
      </c>
      <c r="F213" s="13" t="s">
        <v>201</v>
      </c>
      <c r="G213" s="13"/>
      <c r="H213" s="13"/>
      <c r="I213" s="13" t="s">
        <v>1192</v>
      </c>
      <c r="J213" s="13" t="s">
        <v>203</v>
      </c>
      <c r="K213" s="13" t="s">
        <v>1193</v>
      </c>
    </row>
    <row r="214" ht="15.75" customHeight="1">
      <c r="A214" s="13" t="s">
        <v>1918</v>
      </c>
      <c r="B214" s="13" t="s">
        <v>1919</v>
      </c>
      <c r="C214" s="13" t="s">
        <v>111</v>
      </c>
      <c r="D214" s="13" t="s">
        <v>83</v>
      </c>
      <c r="E214" s="13" t="s">
        <v>200</v>
      </c>
      <c r="F214" s="13" t="s">
        <v>201</v>
      </c>
      <c r="G214" s="13"/>
      <c r="H214" s="13"/>
      <c r="I214" s="13" t="s">
        <v>1192</v>
      </c>
      <c r="J214" s="13" t="s">
        <v>203</v>
      </c>
      <c r="K214" s="13" t="s">
        <v>1193</v>
      </c>
    </row>
    <row r="215" ht="15.75" customHeight="1">
      <c r="A215" s="13" t="s">
        <v>1918</v>
      </c>
      <c r="B215" s="13" t="s">
        <v>1919</v>
      </c>
      <c r="C215" s="13" t="s">
        <v>111</v>
      </c>
      <c r="D215" s="13" t="s">
        <v>136</v>
      </c>
      <c r="E215" s="13" t="s">
        <v>200</v>
      </c>
      <c r="F215" s="13" t="s">
        <v>201</v>
      </c>
      <c r="G215" s="13"/>
      <c r="H215" s="13"/>
      <c r="I215" s="13" t="s">
        <v>1192</v>
      </c>
      <c r="J215" s="13" t="s">
        <v>203</v>
      </c>
      <c r="K215" s="13" t="s">
        <v>1193</v>
      </c>
    </row>
    <row r="216" ht="15.75" customHeight="1">
      <c r="A216" s="13" t="s">
        <v>1920</v>
      </c>
      <c r="B216" s="13" t="s">
        <v>1921</v>
      </c>
      <c r="C216" s="13" t="s">
        <v>111</v>
      </c>
      <c r="D216" s="13" t="s">
        <v>83</v>
      </c>
      <c r="E216" s="13" t="s">
        <v>200</v>
      </c>
      <c r="F216" s="13" t="s">
        <v>201</v>
      </c>
      <c r="G216" s="13"/>
      <c r="H216" s="13"/>
      <c r="I216" s="13" t="s">
        <v>1192</v>
      </c>
      <c r="J216" s="13" t="s">
        <v>203</v>
      </c>
      <c r="K216" s="13" t="s">
        <v>1193</v>
      </c>
    </row>
    <row r="217" ht="15.75" customHeight="1">
      <c r="A217" s="13" t="s">
        <v>1920</v>
      </c>
      <c r="B217" s="13" t="s">
        <v>1921</v>
      </c>
      <c r="C217" s="13" t="s">
        <v>111</v>
      </c>
      <c r="D217" s="13" t="s">
        <v>136</v>
      </c>
      <c r="E217" s="13" t="s">
        <v>200</v>
      </c>
      <c r="F217" s="13" t="s">
        <v>201</v>
      </c>
      <c r="G217" s="13"/>
      <c r="H217" s="13"/>
      <c r="I217" s="13" t="s">
        <v>1192</v>
      </c>
      <c r="J217" s="13" t="s">
        <v>203</v>
      </c>
      <c r="K217" s="13" t="s">
        <v>1193</v>
      </c>
    </row>
    <row r="218" ht="15.75" customHeight="1">
      <c r="A218" s="13" t="s">
        <v>1922</v>
      </c>
      <c r="B218" s="13" t="s">
        <v>1923</v>
      </c>
      <c r="C218" s="13" t="s">
        <v>111</v>
      </c>
      <c r="D218" s="13" t="s">
        <v>83</v>
      </c>
      <c r="E218" s="13" t="s">
        <v>200</v>
      </c>
      <c r="F218" s="13" t="s">
        <v>201</v>
      </c>
      <c r="G218" s="13"/>
      <c r="H218" s="13"/>
      <c r="I218" s="13" t="s">
        <v>1192</v>
      </c>
      <c r="J218" s="13" t="s">
        <v>203</v>
      </c>
      <c r="K218" s="13" t="s">
        <v>1193</v>
      </c>
    </row>
    <row r="219" ht="15.75" customHeight="1">
      <c r="A219" s="13" t="s">
        <v>1922</v>
      </c>
      <c r="B219" s="13" t="s">
        <v>1923</v>
      </c>
      <c r="C219" s="13" t="s">
        <v>111</v>
      </c>
      <c r="D219" s="13" t="s">
        <v>136</v>
      </c>
      <c r="E219" s="13" t="s">
        <v>200</v>
      </c>
      <c r="F219" s="13" t="s">
        <v>201</v>
      </c>
      <c r="G219" s="13"/>
      <c r="H219" s="13"/>
      <c r="I219" s="13" t="s">
        <v>1192</v>
      </c>
      <c r="J219" s="13" t="s">
        <v>203</v>
      </c>
      <c r="K219" s="13" t="s">
        <v>1193</v>
      </c>
    </row>
    <row r="220" ht="15.75" customHeight="1">
      <c r="A220" s="13" t="s">
        <v>1924</v>
      </c>
      <c r="B220" s="13" t="s">
        <v>1925</v>
      </c>
      <c r="C220" s="13" t="s">
        <v>111</v>
      </c>
      <c r="D220" s="13" t="s">
        <v>83</v>
      </c>
      <c r="E220" s="13" t="s">
        <v>200</v>
      </c>
      <c r="F220" s="13" t="s">
        <v>201</v>
      </c>
      <c r="G220" s="13"/>
      <c r="H220" s="13"/>
      <c r="I220" s="13" t="s">
        <v>1192</v>
      </c>
      <c r="J220" s="13" t="s">
        <v>203</v>
      </c>
      <c r="K220" s="13" t="s">
        <v>1193</v>
      </c>
    </row>
    <row r="221" ht="15.75" customHeight="1">
      <c r="A221" s="13" t="s">
        <v>1924</v>
      </c>
      <c r="B221" s="13" t="s">
        <v>1925</v>
      </c>
      <c r="C221" s="13" t="s">
        <v>111</v>
      </c>
      <c r="D221" s="13" t="s">
        <v>136</v>
      </c>
      <c r="E221" s="13" t="s">
        <v>200</v>
      </c>
      <c r="F221" s="13" t="s">
        <v>201</v>
      </c>
      <c r="G221" s="13"/>
      <c r="H221" s="13"/>
      <c r="I221" s="13" t="s">
        <v>1192</v>
      </c>
      <c r="J221" s="13" t="s">
        <v>203</v>
      </c>
      <c r="K221" s="13" t="s">
        <v>1193</v>
      </c>
    </row>
    <row r="222" ht="15.75" customHeight="1">
      <c r="A222" s="13" t="s">
        <v>1926</v>
      </c>
      <c r="B222" s="13" t="s">
        <v>1927</v>
      </c>
      <c r="C222" s="13" t="s">
        <v>111</v>
      </c>
      <c r="D222" s="13" t="s">
        <v>83</v>
      </c>
      <c r="E222" s="13" t="s">
        <v>200</v>
      </c>
      <c r="F222" s="13" t="s">
        <v>201</v>
      </c>
      <c r="G222" s="13"/>
      <c r="H222" s="13"/>
      <c r="I222" s="13" t="s">
        <v>1192</v>
      </c>
      <c r="J222" s="13" t="s">
        <v>203</v>
      </c>
      <c r="K222" s="13" t="s">
        <v>1193</v>
      </c>
    </row>
    <row r="223" ht="15.75" customHeight="1">
      <c r="A223" s="13" t="s">
        <v>1926</v>
      </c>
      <c r="B223" s="13" t="s">
        <v>1927</v>
      </c>
      <c r="C223" s="13" t="s">
        <v>111</v>
      </c>
      <c r="D223" s="13" t="s">
        <v>136</v>
      </c>
      <c r="E223" s="13" t="s">
        <v>200</v>
      </c>
      <c r="F223" s="13" t="s">
        <v>201</v>
      </c>
      <c r="G223" s="13"/>
      <c r="H223" s="13"/>
      <c r="I223" s="13" t="s">
        <v>1192</v>
      </c>
      <c r="J223" s="13" t="s">
        <v>203</v>
      </c>
      <c r="K223" s="13" t="s">
        <v>1193</v>
      </c>
    </row>
    <row r="224" ht="15.75" customHeight="1">
      <c r="A224" s="13" t="s">
        <v>1928</v>
      </c>
      <c r="B224" s="13" t="s">
        <v>1929</v>
      </c>
      <c r="C224" s="13" t="s">
        <v>111</v>
      </c>
      <c r="D224" s="13" t="s">
        <v>83</v>
      </c>
      <c r="E224" s="13" t="s">
        <v>200</v>
      </c>
      <c r="F224" s="13" t="s">
        <v>201</v>
      </c>
      <c r="G224" s="13"/>
      <c r="H224" s="13"/>
      <c r="I224" s="13" t="s">
        <v>1192</v>
      </c>
      <c r="J224" s="13" t="s">
        <v>203</v>
      </c>
      <c r="K224" s="13" t="s">
        <v>1193</v>
      </c>
    </row>
    <row r="225" ht="15.75" customHeight="1">
      <c r="A225" s="13" t="s">
        <v>1928</v>
      </c>
      <c r="B225" s="13" t="s">
        <v>1929</v>
      </c>
      <c r="C225" s="13" t="s">
        <v>111</v>
      </c>
      <c r="D225" s="13" t="s">
        <v>136</v>
      </c>
      <c r="E225" s="13" t="s">
        <v>200</v>
      </c>
      <c r="F225" s="13" t="s">
        <v>201</v>
      </c>
      <c r="G225" s="13"/>
      <c r="H225" s="13"/>
      <c r="I225" s="13" t="s">
        <v>1192</v>
      </c>
      <c r="J225" s="13" t="s">
        <v>203</v>
      </c>
      <c r="K225" s="13" t="s">
        <v>1193</v>
      </c>
    </row>
    <row r="226" ht="15.75" customHeight="1">
      <c r="A226" s="13" t="s">
        <v>1930</v>
      </c>
      <c r="B226" s="13" t="s">
        <v>1931</v>
      </c>
      <c r="C226" s="13" t="s">
        <v>111</v>
      </c>
      <c r="D226" s="13" t="s">
        <v>83</v>
      </c>
      <c r="E226" s="13" t="s">
        <v>1070</v>
      </c>
      <c r="F226" s="13">
        <v>7.0</v>
      </c>
      <c r="G226" s="13" t="s">
        <v>1932</v>
      </c>
      <c r="H226" s="13" t="s">
        <v>1933</v>
      </c>
      <c r="I226" s="13" t="s">
        <v>1536</v>
      </c>
      <c r="J226" s="13" t="s">
        <v>1537</v>
      </c>
      <c r="K226" s="13" t="s">
        <v>1539</v>
      </c>
    </row>
    <row r="227" ht="15.75" customHeight="1">
      <c r="A227" s="13" t="s">
        <v>1930</v>
      </c>
      <c r="B227" s="13" t="s">
        <v>1931</v>
      </c>
      <c r="C227" s="13" t="s">
        <v>111</v>
      </c>
      <c r="D227" s="13" t="s">
        <v>136</v>
      </c>
      <c r="E227" s="13" t="s">
        <v>200</v>
      </c>
      <c r="F227" s="13">
        <v>365.0</v>
      </c>
      <c r="G227" s="13" t="s">
        <v>1932</v>
      </c>
      <c r="H227" s="13" t="s">
        <v>1933</v>
      </c>
      <c r="I227" s="13" t="s">
        <v>1192</v>
      </c>
      <c r="J227" s="13" t="s">
        <v>1537</v>
      </c>
      <c r="K227" s="13" t="s">
        <v>1539</v>
      </c>
    </row>
    <row r="228" ht="15.75" customHeight="1">
      <c r="A228" s="13" t="s">
        <v>1934</v>
      </c>
      <c r="B228" s="13" t="s">
        <v>1935</v>
      </c>
      <c r="C228" s="13" t="s">
        <v>111</v>
      </c>
      <c r="D228" s="13" t="s">
        <v>83</v>
      </c>
      <c r="E228" s="13" t="s">
        <v>200</v>
      </c>
      <c r="F228" s="13" t="s">
        <v>201</v>
      </c>
      <c r="G228" s="13"/>
      <c r="H228" s="13"/>
      <c r="I228" s="13" t="s">
        <v>1192</v>
      </c>
      <c r="J228" s="13" t="s">
        <v>203</v>
      </c>
      <c r="K228" s="13" t="s">
        <v>1193</v>
      </c>
    </row>
    <row r="229" ht="15.75" customHeight="1">
      <c r="A229" s="13" t="s">
        <v>1934</v>
      </c>
      <c r="B229" s="13" t="s">
        <v>1935</v>
      </c>
      <c r="C229" s="13" t="s">
        <v>111</v>
      </c>
      <c r="D229" s="13" t="s">
        <v>136</v>
      </c>
      <c r="E229" s="13" t="s">
        <v>200</v>
      </c>
      <c r="F229" s="13" t="s">
        <v>201</v>
      </c>
      <c r="G229" s="13"/>
      <c r="H229" s="13"/>
      <c r="I229" s="13" t="s">
        <v>1192</v>
      </c>
      <c r="J229" s="13" t="s">
        <v>203</v>
      </c>
      <c r="K229" s="13" t="s">
        <v>1193</v>
      </c>
    </row>
    <row r="230" ht="15.75" customHeight="1">
      <c r="A230" s="13" t="s">
        <v>1936</v>
      </c>
      <c r="B230" s="13" t="s">
        <v>1937</v>
      </c>
      <c r="C230" s="13" t="s">
        <v>111</v>
      </c>
      <c r="D230" s="13" t="s">
        <v>83</v>
      </c>
      <c r="E230" s="13" t="s">
        <v>1070</v>
      </c>
      <c r="F230" s="13">
        <v>3.0</v>
      </c>
      <c r="G230" s="13" t="s">
        <v>1908</v>
      </c>
      <c r="H230" s="13" t="s">
        <v>1535</v>
      </c>
      <c r="I230" s="13" t="s">
        <v>1536</v>
      </c>
      <c r="J230" s="13" t="s">
        <v>1537</v>
      </c>
      <c r="K230" s="13" t="s">
        <v>1539</v>
      </c>
    </row>
    <row r="231" ht="15.75" customHeight="1">
      <c r="A231" s="13" t="s">
        <v>1936</v>
      </c>
      <c r="B231" s="13" t="s">
        <v>1937</v>
      </c>
      <c r="C231" s="13" t="s">
        <v>111</v>
      </c>
      <c r="D231" s="13" t="s">
        <v>136</v>
      </c>
      <c r="E231" s="13" t="s">
        <v>200</v>
      </c>
      <c r="F231" s="13">
        <v>30.0</v>
      </c>
      <c r="G231" s="13" t="s">
        <v>1908</v>
      </c>
      <c r="H231" s="13" t="s">
        <v>1535</v>
      </c>
      <c r="I231" s="13" t="s">
        <v>1192</v>
      </c>
      <c r="J231" s="13" t="s">
        <v>1537</v>
      </c>
      <c r="K231" s="13" t="s">
        <v>1539</v>
      </c>
    </row>
    <row r="232" ht="15.75" customHeight="1">
      <c r="A232" s="13" t="s">
        <v>1938</v>
      </c>
      <c r="B232" s="13" t="s">
        <v>1939</v>
      </c>
      <c r="C232" s="13" t="s">
        <v>111</v>
      </c>
      <c r="D232" s="13" t="s">
        <v>83</v>
      </c>
      <c r="E232" s="13" t="s">
        <v>200</v>
      </c>
      <c r="F232" s="13" t="s">
        <v>201</v>
      </c>
      <c r="G232" s="13"/>
      <c r="H232" s="13"/>
      <c r="I232" s="13" t="s">
        <v>1192</v>
      </c>
      <c r="J232" s="13" t="s">
        <v>203</v>
      </c>
      <c r="K232" s="13" t="s">
        <v>1193</v>
      </c>
    </row>
    <row r="233" ht="15.75" customHeight="1">
      <c r="A233" s="13" t="s">
        <v>1938</v>
      </c>
      <c r="B233" s="13" t="s">
        <v>1939</v>
      </c>
      <c r="C233" s="13" t="s">
        <v>111</v>
      </c>
      <c r="D233" s="13" t="s">
        <v>136</v>
      </c>
      <c r="E233" s="13" t="s">
        <v>200</v>
      </c>
      <c r="F233" s="13" t="s">
        <v>201</v>
      </c>
      <c r="G233" s="13"/>
      <c r="H233" s="13"/>
      <c r="I233" s="13" t="s">
        <v>1192</v>
      </c>
      <c r="J233" s="13" t="s">
        <v>203</v>
      </c>
      <c r="K233" s="13" t="s">
        <v>1193</v>
      </c>
    </row>
    <row r="234" ht="15.75" customHeight="1">
      <c r="A234" s="13" t="s">
        <v>1940</v>
      </c>
      <c r="B234" s="13" t="s">
        <v>1941</v>
      </c>
      <c r="C234" s="13" t="s">
        <v>111</v>
      </c>
      <c r="D234" s="13" t="s">
        <v>83</v>
      </c>
      <c r="E234" s="13" t="s">
        <v>200</v>
      </c>
      <c r="F234" s="13" t="s">
        <v>201</v>
      </c>
      <c r="G234" s="13"/>
      <c r="H234" s="13"/>
      <c r="I234" s="13" t="s">
        <v>1192</v>
      </c>
      <c r="J234" s="13" t="s">
        <v>203</v>
      </c>
      <c r="K234" s="13" t="s">
        <v>1193</v>
      </c>
    </row>
    <row r="235" ht="15.75" customHeight="1">
      <c r="A235" s="13" t="s">
        <v>1940</v>
      </c>
      <c r="B235" s="13" t="s">
        <v>1941</v>
      </c>
      <c r="C235" s="13" t="s">
        <v>111</v>
      </c>
      <c r="D235" s="13" t="s">
        <v>136</v>
      </c>
      <c r="E235" s="13" t="s">
        <v>200</v>
      </c>
      <c r="F235" s="13" t="s">
        <v>201</v>
      </c>
      <c r="G235" s="13"/>
      <c r="H235" s="13"/>
      <c r="I235" s="13" t="s">
        <v>1192</v>
      </c>
      <c r="J235" s="13" t="s">
        <v>203</v>
      </c>
      <c r="K235" s="13" t="s">
        <v>1193</v>
      </c>
    </row>
    <row r="236" ht="15.75" customHeight="1">
      <c r="A236" s="13" t="s">
        <v>1942</v>
      </c>
      <c r="B236" s="13" t="s">
        <v>1943</v>
      </c>
      <c r="C236" s="13" t="s">
        <v>111</v>
      </c>
      <c r="D236" s="13" t="s">
        <v>83</v>
      </c>
      <c r="E236" s="13" t="s">
        <v>200</v>
      </c>
      <c r="F236" s="13" t="s">
        <v>201</v>
      </c>
      <c r="G236" s="13"/>
      <c r="H236" s="13"/>
      <c r="I236" s="13" t="s">
        <v>1192</v>
      </c>
      <c r="J236" s="13" t="s">
        <v>203</v>
      </c>
      <c r="K236" s="13" t="s">
        <v>1193</v>
      </c>
    </row>
    <row r="237" ht="15.75" customHeight="1">
      <c r="A237" s="13" t="s">
        <v>1942</v>
      </c>
      <c r="B237" s="13" t="s">
        <v>1943</v>
      </c>
      <c r="C237" s="13" t="s">
        <v>111</v>
      </c>
      <c r="D237" s="13" t="s">
        <v>136</v>
      </c>
      <c r="E237" s="13" t="s">
        <v>200</v>
      </c>
      <c r="F237" s="13" t="s">
        <v>201</v>
      </c>
      <c r="G237" s="13"/>
      <c r="H237" s="13"/>
      <c r="I237" s="13" t="s">
        <v>1192</v>
      </c>
      <c r="J237" s="13" t="s">
        <v>203</v>
      </c>
      <c r="K237" s="13" t="s">
        <v>1193</v>
      </c>
    </row>
    <row r="238" ht="15.75" customHeight="1">
      <c r="A238" s="13" t="s">
        <v>1944</v>
      </c>
      <c r="B238" s="13" t="s">
        <v>1945</v>
      </c>
      <c r="C238" s="13" t="s">
        <v>111</v>
      </c>
      <c r="D238" s="13" t="s">
        <v>83</v>
      </c>
      <c r="E238" s="13" t="s">
        <v>200</v>
      </c>
      <c r="F238" s="13" t="s">
        <v>201</v>
      </c>
      <c r="G238" s="13"/>
      <c r="H238" s="13"/>
      <c r="I238" s="13" t="s">
        <v>1192</v>
      </c>
      <c r="J238" s="13" t="s">
        <v>203</v>
      </c>
      <c r="K238" s="13" t="s">
        <v>1193</v>
      </c>
    </row>
    <row r="239" ht="15.75" customHeight="1">
      <c r="A239" s="13" t="s">
        <v>1944</v>
      </c>
      <c r="B239" s="13" t="s">
        <v>1945</v>
      </c>
      <c r="C239" s="13" t="s">
        <v>111</v>
      </c>
      <c r="D239" s="13" t="s">
        <v>136</v>
      </c>
      <c r="E239" s="13" t="s">
        <v>200</v>
      </c>
      <c r="F239" s="13" t="s">
        <v>201</v>
      </c>
      <c r="G239" s="13"/>
      <c r="H239" s="13"/>
      <c r="I239" s="13" t="s">
        <v>1192</v>
      </c>
      <c r="J239" s="13" t="s">
        <v>203</v>
      </c>
      <c r="K239" s="13" t="s">
        <v>1193</v>
      </c>
    </row>
    <row r="240" ht="15.75" customHeight="1">
      <c r="A240" s="13" t="s">
        <v>1946</v>
      </c>
      <c r="B240" s="13" t="s">
        <v>1947</v>
      </c>
      <c r="C240" s="13" t="s">
        <v>111</v>
      </c>
      <c r="D240" s="13" t="s">
        <v>83</v>
      </c>
      <c r="E240" s="13" t="s">
        <v>200</v>
      </c>
      <c r="F240" s="13" t="s">
        <v>201</v>
      </c>
      <c r="G240" s="13"/>
      <c r="H240" s="13"/>
      <c r="I240" s="13" t="s">
        <v>1192</v>
      </c>
      <c r="J240" s="13" t="s">
        <v>203</v>
      </c>
      <c r="K240" s="13" t="s">
        <v>1193</v>
      </c>
    </row>
    <row r="241" ht="15.75" customHeight="1">
      <c r="A241" s="13" t="s">
        <v>1946</v>
      </c>
      <c r="B241" s="13" t="s">
        <v>1947</v>
      </c>
      <c r="C241" s="13" t="s">
        <v>111</v>
      </c>
      <c r="D241" s="13" t="s">
        <v>136</v>
      </c>
      <c r="E241" s="13" t="s">
        <v>200</v>
      </c>
      <c r="F241" s="13" t="s">
        <v>201</v>
      </c>
      <c r="G241" s="13"/>
      <c r="H241" s="13"/>
      <c r="I241" s="13" t="s">
        <v>1192</v>
      </c>
      <c r="J241" s="13" t="s">
        <v>203</v>
      </c>
      <c r="K241" s="13" t="s">
        <v>1193</v>
      </c>
    </row>
    <row r="242" ht="15.75" customHeight="1">
      <c r="A242" s="13" t="s">
        <v>1948</v>
      </c>
      <c r="B242" s="13" t="s">
        <v>1949</v>
      </c>
      <c r="C242" s="13" t="s">
        <v>111</v>
      </c>
      <c r="D242" s="13" t="s">
        <v>83</v>
      </c>
      <c r="E242" s="13" t="s">
        <v>1313</v>
      </c>
      <c r="F242" s="13" t="s">
        <v>203</v>
      </c>
      <c r="G242" s="13"/>
      <c r="H242" s="13"/>
      <c r="I242" s="13" t="s">
        <v>1319</v>
      </c>
      <c r="J242" s="13" t="s">
        <v>203</v>
      </c>
      <c r="K242" s="13" t="s">
        <v>203</v>
      </c>
    </row>
    <row r="243" ht="15.75" customHeight="1">
      <c r="A243" s="13" t="s">
        <v>1948</v>
      </c>
      <c r="B243" s="13" t="s">
        <v>1949</v>
      </c>
      <c r="C243" s="13" t="s">
        <v>111</v>
      </c>
      <c r="D243" s="13" t="s">
        <v>136</v>
      </c>
      <c r="E243" s="13" t="s">
        <v>200</v>
      </c>
      <c r="F243" s="13" t="s">
        <v>201</v>
      </c>
      <c r="G243" s="13"/>
      <c r="H243" s="13"/>
      <c r="I243" s="13" t="s">
        <v>1329</v>
      </c>
      <c r="J243" s="13" t="s">
        <v>203</v>
      </c>
      <c r="K243" s="13" t="s">
        <v>1332</v>
      </c>
    </row>
    <row r="244" ht="15.75" customHeight="1">
      <c r="A244" s="13" t="s">
        <v>1950</v>
      </c>
      <c r="B244" s="13" t="s">
        <v>1951</v>
      </c>
      <c r="C244" s="13" t="s">
        <v>111</v>
      </c>
      <c r="D244" s="13" t="s">
        <v>83</v>
      </c>
      <c r="E244" s="13" t="s">
        <v>1313</v>
      </c>
      <c r="F244" s="13" t="s">
        <v>203</v>
      </c>
      <c r="G244" s="13"/>
      <c r="H244" s="13"/>
      <c r="I244" s="13" t="s">
        <v>1319</v>
      </c>
      <c r="J244" s="13" t="s">
        <v>203</v>
      </c>
      <c r="K244" s="13" t="s">
        <v>203</v>
      </c>
    </row>
    <row r="245" ht="15.75" customHeight="1">
      <c r="A245" s="13" t="s">
        <v>1950</v>
      </c>
      <c r="B245" s="13" t="s">
        <v>1951</v>
      </c>
      <c r="C245" s="13" t="s">
        <v>111</v>
      </c>
      <c r="D245" s="13" t="s">
        <v>136</v>
      </c>
      <c r="E245" s="13" t="s">
        <v>200</v>
      </c>
      <c r="F245" s="13" t="s">
        <v>201</v>
      </c>
      <c r="G245" s="13"/>
      <c r="H245" s="13"/>
      <c r="I245" s="13" t="s">
        <v>1329</v>
      </c>
      <c r="J245" s="13" t="s">
        <v>203</v>
      </c>
      <c r="K245" s="13" t="s">
        <v>1332</v>
      </c>
    </row>
    <row r="246" ht="15.75" customHeight="1">
      <c r="A246" s="13" t="s">
        <v>1952</v>
      </c>
      <c r="B246" s="13" t="s">
        <v>1953</v>
      </c>
      <c r="C246" s="13" t="s">
        <v>111</v>
      </c>
      <c r="D246" s="13" t="s">
        <v>83</v>
      </c>
      <c r="E246" s="13" t="s">
        <v>200</v>
      </c>
      <c r="F246" s="13" t="s">
        <v>201</v>
      </c>
      <c r="G246" s="13"/>
      <c r="H246" s="13"/>
      <c r="I246" s="13" t="s">
        <v>1192</v>
      </c>
      <c r="J246" s="13" t="s">
        <v>203</v>
      </c>
      <c r="K246" s="13" t="s">
        <v>1193</v>
      </c>
    </row>
    <row r="247" ht="15.75" customHeight="1">
      <c r="A247" s="13" t="s">
        <v>1952</v>
      </c>
      <c r="B247" s="13" t="s">
        <v>1953</v>
      </c>
      <c r="C247" s="13" t="s">
        <v>111</v>
      </c>
      <c r="D247" s="13" t="s">
        <v>136</v>
      </c>
      <c r="E247" s="13" t="s">
        <v>200</v>
      </c>
      <c r="F247" s="13" t="s">
        <v>201</v>
      </c>
      <c r="G247" s="13"/>
      <c r="H247" s="13"/>
      <c r="I247" s="13" t="s">
        <v>1192</v>
      </c>
      <c r="J247" s="13" t="s">
        <v>203</v>
      </c>
      <c r="K247" s="13" t="s">
        <v>1193</v>
      </c>
    </row>
    <row r="248" ht="15.75" customHeight="1">
      <c r="A248" s="13" t="s">
        <v>1954</v>
      </c>
      <c r="B248" s="13" t="s">
        <v>1955</v>
      </c>
      <c r="C248" s="13" t="s">
        <v>111</v>
      </c>
      <c r="D248" s="13" t="s">
        <v>83</v>
      </c>
      <c r="E248" s="13" t="s">
        <v>200</v>
      </c>
      <c r="F248" s="13" t="s">
        <v>201</v>
      </c>
      <c r="G248" s="13"/>
      <c r="H248" s="13"/>
      <c r="I248" s="13" t="s">
        <v>1192</v>
      </c>
      <c r="J248" s="13" t="s">
        <v>203</v>
      </c>
      <c r="K248" s="13" t="s">
        <v>1193</v>
      </c>
    </row>
    <row r="249" ht="15.75" customHeight="1">
      <c r="A249" s="13" t="s">
        <v>1954</v>
      </c>
      <c r="B249" s="13" t="s">
        <v>1955</v>
      </c>
      <c r="C249" s="13" t="s">
        <v>111</v>
      </c>
      <c r="D249" s="13" t="s">
        <v>136</v>
      </c>
      <c r="E249" s="13" t="s">
        <v>200</v>
      </c>
      <c r="F249" s="13" t="s">
        <v>201</v>
      </c>
      <c r="G249" s="13"/>
      <c r="H249" s="13"/>
      <c r="I249" s="13" t="s">
        <v>1192</v>
      </c>
      <c r="J249" s="13" t="s">
        <v>203</v>
      </c>
      <c r="K249" s="13" t="s">
        <v>1193</v>
      </c>
    </row>
    <row r="250" ht="15.75" customHeight="1">
      <c r="A250" s="13" t="s">
        <v>1956</v>
      </c>
      <c r="B250" s="13" t="s">
        <v>1957</v>
      </c>
      <c r="C250" s="13" t="s">
        <v>111</v>
      </c>
      <c r="D250" s="13" t="s">
        <v>83</v>
      </c>
      <c r="E250" s="13" t="s">
        <v>200</v>
      </c>
      <c r="F250" s="13" t="s">
        <v>201</v>
      </c>
      <c r="G250" s="13"/>
      <c r="H250" s="13"/>
      <c r="I250" s="13" t="s">
        <v>1192</v>
      </c>
      <c r="J250" s="13" t="s">
        <v>203</v>
      </c>
      <c r="K250" s="13" t="s">
        <v>1193</v>
      </c>
    </row>
    <row r="251" ht="15.75" customHeight="1">
      <c r="A251" s="13" t="s">
        <v>1956</v>
      </c>
      <c r="B251" s="13" t="s">
        <v>1957</v>
      </c>
      <c r="C251" s="13" t="s">
        <v>111</v>
      </c>
      <c r="D251" s="13" t="s">
        <v>136</v>
      </c>
      <c r="E251" s="13" t="s">
        <v>200</v>
      </c>
      <c r="F251" s="13" t="s">
        <v>201</v>
      </c>
      <c r="G251" s="13"/>
      <c r="H251" s="13"/>
      <c r="I251" s="13" t="s">
        <v>1192</v>
      </c>
      <c r="J251" s="13" t="s">
        <v>203</v>
      </c>
      <c r="K251" s="13" t="s">
        <v>1193</v>
      </c>
    </row>
    <row r="252" ht="15.75" customHeight="1">
      <c r="A252" s="13" t="s">
        <v>1958</v>
      </c>
      <c r="B252" s="13" t="s">
        <v>1959</v>
      </c>
      <c r="C252" s="13" t="s">
        <v>111</v>
      </c>
      <c r="D252" s="13" t="s">
        <v>83</v>
      </c>
      <c r="E252" s="13" t="s">
        <v>200</v>
      </c>
      <c r="F252" s="13" t="s">
        <v>201</v>
      </c>
      <c r="G252" s="13"/>
      <c r="H252" s="13"/>
      <c r="I252" s="13" t="s">
        <v>1192</v>
      </c>
      <c r="J252" s="13" t="s">
        <v>203</v>
      </c>
      <c r="K252" s="13" t="s">
        <v>1193</v>
      </c>
    </row>
    <row r="253" ht="15.75" customHeight="1">
      <c r="A253" s="13" t="s">
        <v>1958</v>
      </c>
      <c r="B253" s="13" t="s">
        <v>1959</v>
      </c>
      <c r="C253" s="13" t="s">
        <v>111</v>
      </c>
      <c r="D253" s="13" t="s">
        <v>136</v>
      </c>
      <c r="E253" s="13" t="s">
        <v>200</v>
      </c>
      <c r="F253" s="13" t="s">
        <v>201</v>
      </c>
      <c r="G253" s="13"/>
      <c r="H253" s="13"/>
      <c r="I253" s="13" t="s">
        <v>1192</v>
      </c>
      <c r="J253" s="13" t="s">
        <v>203</v>
      </c>
      <c r="K253" s="13" t="s">
        <v>1193</v>
      </c>
    </row>
    <row r="254" ht="15.75" customHeight="1">
      <c r="A254" s="13" t="s">
        <v>1960</v>
      </c>
      <c r="B254" s="13" t="s">
        <v>1961</v>
      </c>
      <c r="C254" s="13" t="s">
        <v>111</v>
      </c>
      <c r="D254" s="13" t="s">
        <v>83</v>
      </c>
      <c r="E254" s="13" t="s">
        <v>1070</v>
      </c>
      <c r="F254" s="13">
        <v>1.0</v>
      </c>
      <c r="G254" s="13" t="s">
        <v>1962</v>
      </c>
      <c r="H254" s="13" t="s">
        <v>1963</v>
      </c>
      <c r="I254" s="13" t="s">
        <v>1536</v>
      </c>
      <c r="J254" s="13" t="s">
        <v>1537</v>
      </c>
      <c r="K254" s="13" t="s">
        <v>1539</v>
      </c>
    </row>
    <row r="255" ht="15.75" customHeight="1">
      <c r="A255" s="13" t="s">
        <v>1960</v>
      </c>
      <c r="B255" s="13" t="s">
        <v>1961</v>
      </c>
      <c r="C255" s="13" t="s">
        <v>111</v>
      </c>
      <c r="D255" s="13" t="s">
        <v>136</v>
      </c>
      <c r="E255" s="13" t="s">
        <v>200</v>
      </c>
      <c r="F255" s="13">
        <v>5.0</v>
      </c>
      <c r="G255" s="13" t="s">
        <v>1962</v>
      </c>
      <c r="H255" s="13" t="s">
        <v>1963</v>
      </c>
      <c r="I255" s="13" t="s">
        <v>1192</v>
      </c>
      <c r="J255" s="13" t="s">
        <v>1537</v>
      </c>
      <c r="K255" s="13" t="s">
        <v>1539</v>
      </c>
    </row>
    <row r="256" ht="15.75" customHeight="1">
      <c r="A256" s="13" t="s">
        <v>1964</v>
      </c>
      <c r="B256" s="13" t="s">
        <v>1965</v>
      </c>
      <c r="C256" s="13" t="s">
        <v>111</v>
      </c>
      <c r="D256" s="13" t="s">
        <v>83</v>
      </c>
      <c r="E256" s="13" t="s">
        <v>200</v>
      </c>
      <c r="F256" s="13" t="s">
        <v>201</v>
      </c>
      <c r="G256" s="13"/>
      <c r="H256" s="13"/>
      <c r="I256" s="13" t="s">
        <v>1192</v>
      </c>
      <c r="J256" s="13" t="s">
        <v>203</v>
      </c>
      <c r="K256" s="13" t="s">
        <v>1193</v>
      </c>
    </row>
    <row r="257" ht="15.75" customHeight="1">
      <c r="A257" s="13" t="s">
        <v>1964</v>
      </c>
      <c r="B257" s="13" t="s">
        <v>1965</v>
      </c>
      <c r="C257" s="13" t="s">
        <v>111</v>
      </c>
      <c r="D257" s="13" t="s">
        <v>136</v>
      </c>
      <c r="E257" s="13" t="s">
        <v>200</v>
      </c>
      <c r="F257" s="13" t="s">
        <v>201</v>
      </c>
      <c r="G257" s="13"/>
      <c r="H257" s="13"/>
      <c r="I257" s="13" t="s">
        <v>1192</v>
      </c>
      <c r="J257" s="13" t="s">
        <v>203</v>
      </c>
      <c r="K257" s="13" t="s">
        <v>1193</v>
      </c>
    </row>
    <row r="258" ht="15.75" customHeight="1">
      <c r="A258" s="13" t="s">
        <v>1966</v>
      </c>
      <c r="B258" s="13" t="s">
        <v>1967</v>
      </c>
      <c r="C258" s="13" t="s">
        <v>111</v>
      </c>
      <c r="D258" s="13" t="s">
        <v>83</v>
      </c>
      <c r="E258" s="13" t="s">
        <v>200</v>
      </c>
      <c r="F258" s="13" t="s">
        <v>201</v>
      </c>
      <c r="G258" s="13"/>
      <c r="H258" s="13"/>
      <c r="I258" s="13" t="s">
        <v>1192</v>
      </c>
      <c r="J258" s="13" t="s">
        <v>203</v>
      </c>
      <c r="K258" s="13" t="s">
        <v>1193</v>
      </c>
    </row>
    <row r="259" ht="15.75" customHeight="1">
      <c r="A259" s="13" t="s">
        <v>1966</v>
      </c>
      <c r="B259" s="13" t="s">
        <v>1967</v>
      </c>
      <c r="C259" s="13" t="s">
        <v>111</v>
      </c>
      <c r="D259" s="13" t="s">
        <v>136</v>
      </c>
      <c r="E259" s="13" t="s">
        <v>200</v>
      </c>
      <c r="F259" s="13" t="s">
        <v>201</v>
      </c>
      <c r="G259" s="13"/>
      <c r="H259" s="13"/>
      <c r="I259" s="13" t="s">
        <v>1192</v>
      </c>
      <c r="J259" s="13" t="s">
        <v>203</v>
      </c>
      <c r="K259" s="13" t="s">
        <v>1193</v>
      </c>
    </row>
    <row r="260" ht="15.75" customHeight="1">
      <c r="A260" s="13" t="s">
        <v>1968</v>
      </c>
      <c r="B260" s="13" t="s">
        <v>1969</v>
      </c>
      <c r="C260" s="13" t="s">
        <v>111</v>
      </c>
      <c r="D260" s="13" t="s">
        <v>83</v>
      </c>
      <c r="E260" s="13" t="s">
        <v>200</v>
      </c>
      <c r="F260" s="13" t="s">
        <v>201</v>
      </c>
      <c r="G260" s="13"/>
      <c r="H260" s="13"/>
      <c r="I260" s="13" t="s">
        <v>1192</v>
      </c>
      <c r="J260" s="13" t="s">
        <v>203</v>
      </c>
      <c r="K260" s="13" t="s">
        <v>1193</v>
      </c>
    </row>
    <row r="261" ht="15.75" customHeight="1">
      <c r="A261" s="13" t="s">
        <v>1968</v>
      </c>
      <c r="B261" s="13" t="s">
        <v>1969</v>
      </c>
      <c r="C261" s="13" t="s">
        <v>111</v>
      </c>
      <c r="D261" s="13" t="s">
        <v>136</v>
      </c>
      <c r="E261" s="13" t="s">
        <v>200</v>
      </c>
      <c r="F261" s="13" t="s">
        <v>201</v>
      </c>
      <c r="G261" s="13"/>
      <c r="H261" s="13"/>
      <c r="I261" s="13" t="s">
        <v>1192</v>
      </c>
      <c r="J261" s="13" t="s">
        <v>203</v>
      </c>
      <c r="K261" s="13" t="s">
        <v>1193</v>
      </c>
    </row>
    <row r="262" ht="15.75" customHeight="1">
      <c r="A262" s="13" t="s">
        <v>1970</v>
      </c>
      <c r="B262" s="13" t="s">
        <v>1971</v>
      </c>
      <c r="C262" s="13" t="s">
        <v>111</v>
      </c>
      <c r="D262" s="13" t="s">
        <v>83</v>
      </c>
      <c r="E262" s="13" t="s">
        <v>200</v>
      </c>
      <c r="F262" s="13" t="s">
        <v>201</v>
      </c>
      <c r="G262" s="13"/>
      <c r="H262" s="13"/>
      <c r="I262" s="13" t="s">
        <v>1192</v>
      </c>
      <c r="J262" s="13" t="s">
        <v>203</v>
      </c>
      <c r="K262" s="13" t="s">
        <v>1193</v>
      </c>
    </row>
    <row r="263" ht="15.75" customHeight="1">
      <c r="A263" s="13" t="s">
        <v>1970</v>
      </c>
      <c r="B263" s="13" t="s">
        <v>1971</v>
      </c>
      <c r="C263" s="13" t="s">
        <v>111</v>
      </c>
      <c r="D263" s="13" t="s">
        <v>136</v>
      </c>
      <c r="E263" s="13" t="s">
        <v>200</v>
      </c>
      <c r="F263" s="13" t="s">
        <v>201</v>
      </c>
      <c r="G263" s="13"/>
      <c r="H263" s="13"/>
      <c r="I263" s="13" t="s">
        <v>1192</v>
      </c>
      <c r="J263" s="13" t="s">
        <v>203</v>
      </c>
      <c r="K263" s="13" t="s">
        <v>1193</v>
      </c>
    </row>
    <row r="264" ht="15.75" customHeight="1">
      <c r="A264" s="13" t="s">
        <v>1972</v>
      </c>
      <c r="B264" s="13" t="s">
        <v>1973</v>
      </c>
      <c r="C264" s="13" t="s">
        <v>111</v>
      </c>
      <c r="D264" s="13" t="s">
        <v>83</v>
      </c>
      <c r="E264" s="13" t="s">
        <v>200</v>
      </c>
      <c r="F264" s="13" t="s">
        <v>201</v>
      </c>
      <c r="G264" s="13"/>
      <c r="H264" s="13"/>
      <c r="I264" s="13" t="s">
        <v>1192</v>
      </c>
      <c r="J264" s="13" t="s">
        <v>203</v>
      </c>
      <c r="K264" s="13" t="s">
        <v>1193</v>
      </c>
    </row>
    <row r="265" ht="15.75" customHeight="1">
      <c r="A265" s="13" t="s">
        <v>1972</v>
      </c>
      <c r="B265" s="13" t="s">
        <v>1973</v>
      </c>
      <c r="C265" s="13" t="s">
        <v>111</v>
      </c>
      <c r="D265" s="13" t="s">
        <v>136</v>
      </c>
      <c r="E265" s="13" t="s">
        <v>200</v>
      </c>
      <c r="F265" s="13" t="s">
        <v>201</v>
      </c>
      <c r="G265" s="13"/>
      <c r="H265" s="13"/>
      <c r="I265" s="13" t="s">
        <v>1192</v>
      </c>
      <c r="J265" s="13" t="s">
        <v>203</v>
      </c>
      <c r="K265" s="13" t="s">
        <v>1193</v>
      </c>
    </row>
    <row r="266" ht="15.75" customHeight="1">
      <c r="A266" s="13" t="s">
        <v>1974</v>
      </c>
      <c r="B266" s="13" t="s">
        <v>1975</v>
      </c>
      <c r="C266" s="13" t="s">
        <v>111</v>
      </c>
      <c r="D266" s="13" t="s">
        <v>83</v>
      </c>
      <c r="E266" s="13" t="s">
        <v>200</v>
      </c>
      <c r="F266" s="13" t="s">
        <v>201</v>
      </c>
      <c r="G266" s="13"/>
      <c r="H266" s="13"/>
      <c r="I266" s="13" t="s">
        <v>1192</v>
      </c>
      <c r="J266" s="13" t="s">
        <v>203</v>
      </c>
      <c r="K266" s="13" t="s">
        <v>1193</v>
      </c>
    </row>
    <row r="267" ht="15.75" customHeight="1">
      <c r="A267" s="13" t="s">
        <v>1974</v>
      </c>
      <c r="B267" s="13" t="s">
        <v>1975</v>
      </c>
      <c r="C267" s="13" t="s">
        <v>111</v>
      </c>
      <c r="D267" s="13" t="s">
        <v>136</v>
      </c>
      <c r="E267" s="13" t="s">
        <v>200</v>
      </c>
      <c r="F267" s="13" t="s">
        <v>201</v>
      </c>
      <c r="G267" s="13"/>
      <c r="H267" s="13"/>
      <c r="I267" s="13" t="s">
        <v>1192</v>
      </c>
      <c r="J267" s="13" t="s">
        <v>203</v>
      </c>
      <c r="K267" s="13" t="s">
        <v>1193</v>
      </c>
    </row>
    <row r="268" ht="15.75" customHeight="1">
      <c r="A268" s="13" t="s">
        <v>1976</v>
      </c>
      <c r="B268" s="13" t="s">
        <v>1977</v>
      </c>
      <c r="C268" s="13" t="s">
        <v>111</v>
      </c>
      <c r="D268" s="13" t="s">
        <v>83</v>
      </c>
      <c r="E268" s="13" t="s">
        <v>200</v>
      </c>
      <c r="F268" s="13" t="s">
        <v>201</v>
      </c>
      <c r="G268" s="13"/>
      <c r="H268" s="13"/>
      <c r="I268" s="13" t="s">
        <v>1192</v>
      </c>
      <c r="J268" s="13" t="s">
        <v>203</v>
      </c>
      <c r="K268" s="13" t="s">
        <v>1193</v>
      </c>
    </row>
    <row r="269" ht="15.75" customHeight="1">
      <c r="A269" s="13" t="s">
        <v>1976</v>
      </c>
      <c r="B269" s="13" t="s">
        <v>1977</v>
      </c>
      <c r="C269" s="13" t="s">
        <v>111</v>
      </c>
      <c r="D269" s="13" t="s">
        <v>136</v>
      </c>
      <c r="E269" s="13" t="s">
        <v>200</v>
      </c>
      <c r="F269" s="13" t="s">
        <v>201</v>
      </c>
      <c r="G269" s="13"/>
      <c r="H269" s="13"/>
      <c r="I269" s="13" t="s">
        <v>1192</v>
      </c>
      <c r="J269" s="13" t="s">
        <v>203</v>
      </c>
      <c r="K269" s="13" t="s">
        <v>1193</v>
      </c>
    </row>
    <row r="270" ht="15.75" customHeight="1">
      <c r="A270" s="13" t="s">
        <v>1978</v>
      </c>
      <c r="B270" s="13" t="s">
        <v>1979</v>
      </c>
      <c r="C270" s="13" t="s">
        <v>111</v>
      </c>
      <c r="D270" s="13" t="s">
        <v>83</v>
      </c>
      <c r="E270" s="13" t="s">
        <v>1313</v>
      </c>
      <c r="F270" s="13" t="s">
        <v>203</v>
      </c>
      <c r="G270" s="13"/>
      <c r="H270" s="13"/>
      <c r="I270" s="13" t="s">
        <v>1319</v>
      </c>
      <c r="J270" s="13" t="s">
        <v>203</v>
      </c>
      <c r="K270" s="13" t="s">
        <v>203</v>
      </c>
    </row>
    <row r="271" ht="15.75" customHeight="1">
      <c r="A271" s="13" t="s">
        <v>1978</v>
      </c>
      <c r="B271" s="13" t="s">
        <v>1979</v>
      </c>
      <c r="C271" s="13" t="s">
        <v>111</v>
      </c>
      <c r="D271" s="13" t="s">
        <v>136</v>
      </c>
      <c r="E271" s="13" t="s">
        <v>200</v>
      </c>
      <c r="F271" s="13" t="s">
        <v>201</v>
      </c>
      <c r="G271" s="13"/>
      <c r="H271" s="13"/>
      <c r="I271" s="13" t="s">
        <v>1329</v>
      </c>
      <c r="J271" s="13" t="s">
        <v>203</v>
      </c>
      <c r="K271" s="13" t="s">
        <v>1332</v>
      </c>
    </row>
    <row r="272" ht="15.75" customHeight="1">
      <c r="A272" s="13" t="s">
        <v>1980</v>
      </c>
      <c r="B272" s="13" t="s">
        <v>1981</v>
      </c>
      <c r="C272" s="13" t="s">
        <v>111</v>
      </c>
      <c r="D272" s="13" t="s">
        <v>83</v>
      </c>
      <c r="E272" s="13" t="s">
        <v>200</v>
      </c>
      <c r="F272" s="13" t="s">
        <v>201</v>
      </c>
      <c r="G272" s="13"/>
      <c r="H272" s="13"/>
      <c r="I272" s="13" t="s">
        <v>1192</v>
      </c>
      <c r="J272" s="13" t="s">
        <v>203</v>
      </c>
      <c r="K272" s="13" t="s">
        <v>1193</v>
      </c>
    </row>
    <row r="273" ht="15.75" customHeight="1">
      <c r="A273" s="13" t="s">
        <v>1980</v>
      </c>
      <c r="B273" s="13" t="s">
        <v>1981</v>
      </c>
      <c r="C273" s="13" t="s">
        <v>111</v>
      </c>
      <c r="D273" s="13" t="s">
        <v>136</v>
      </c>
      <c r="E273" s="13" t="s">
        <v>200</v>
      </c>
      <c r="F273" s="13" t="s">
        <v>201</v>
      </c>
      <c r="G273" s="13"/>
      <c r="H273" s="13"/>
      <c r="I273" s="13" t="s">
        <v>1192</v>
      </c>
      <c r="J273" s="13" t="s">
        <v>203</v>
      </c>
      <c r="K273" s="13" t="s">
        <v>1193</v>
      </c>
    </row>
    <row r="274" ht="15.75" customHeight="1">
      <c r="A274" s="13" t="s">
        <v>1982</v>
      </c>
      <c r="B274" s="13" t="s">
        <v>1983</v>
      </c>
      <c r="C274" s="13" t="s">
        <v>111</v>
      </c>
      <c r="D274" s="13" t="s">
        <v>83</v>
      </c>
      <c r="E274" s="13" t="s">
        <v>200</v>
      </c>
      <c r="F274" s="13" t="s">
        <v>201</v>
      </c>
      <c r="G274" s="13"/>
      <c r="H274" s="13"/>
      <c r="I274" s="13" t="s">
        <v>1192</v>
      </c>
      <c r="J274" s="13" t="s">
        <v>203</v>
      </c>
      <c r="K274" s="13" t="s">
        <v>1193</v>
      </c>
    </row>
    <row r="275" ht="15.75" customHeight="1">
      <c r="A275" s="13" t="s">
        <v>1982</v>
      </c>
      <c r="B275" s="13" t="s">
        <v>1983</v>
      </c>
      <c r="C275" s="13" t="s">
        <v>111</v>
      </c>
      <c r="D275" s="13" t="s">
        <v>136</v>
      </c>
      <c r="E275" s="13" t="s">
        <v>200</v>
      </c>
      <c r="F275" s="13" t="s">
        <v>201</v>
      </c>
      <c r="G275" s="13"/>
      <c r="H275" s="13"/>
      <c r="I275" s="13" t="s">
        <v>1192</v>
      </c>
      <c r="J275" s="13" t="s">
        <v>203</v>
      </c>
      <c r="K275" s="13" t="s">
        <v>1193</v>
      </c>
    </row>
    <row r="276" ht="15.75" customHeight="1">
      <c r="A276" s="13" t="s">
        <v>1984</v>
      </c>
      <c r="B276" s="13" t="s">
        <v>1985</v>
      </c>
      <c r="C276" s="13" t="s">
        <v>111</v>
      </c>
      <c r="D276" s="13" t="s">
        <v>83</v>
      </c>
      <c r="E276" s="13" t="s">
        <v>200</v>
      </c>
      <c r="F276" s="13" t="s">
        <v>201</v>
      </c>
      <c r="G276" s="13"/>
      <c r="H276" s="13"/>
      <c r="I276" s="13" t="s">
        <v>1192</v>
      </c>
      <c r="J276" s="13" t="s">
        <v>203</v>
      </c>
      <c r="K276" s="13" t="s">
        <v>1193</v>
      </c>
    </row>
    <row r="277" ht="15.75" customHeight="1">
      <c r="A277" s="13" t="s">
        <v>1984</v>
      </c>
      <c r="B277" s="13" t="s">
        <v>1985</v>
      </c>
      <c r="C277" s="13" t="s">
        <v>111</v>
      </c>
      <c r="D277" s="13" t="s">
        <v>136</v>
      </c>
      <c r="E277" s="13" t="s">
        <v>200</v>
      </c>
      <c r="F277" s="13" t="s">
        <v>201</v>
      </c>
      <c r="G277" s="13"/>
      <c r="H277" s="13"/>
      <c r="I277" s="13" t="s">
        <v>1192</v>
      </c>
      <c r="J277" s="13" t="s">
        <v>203</v>
      </c>
      <c r="K277" s="13" t="s">
        <v>1193</v>
      </c>
    </row>
    <row r="278" ht="15.75" customHeight="1">
      <c r="A278" s="13" t="s">
        <v>1986</v>
      </c>
      <c r="B278" s="13" t="s">
        <v>1987</v>
      </c>
      <c r="C278" s="13" t="s">
        <v>111</v>
      </c>
      <c r="D278" s="13" t="s">
        <v>83</v>
      </c>
      <c r="E278" s="13" t="s">
        <v>1070</v>
      </c>
      <c r="F278" s="13">
        <v>2.0</v>
      </c>
      <c r="G278" s="13" t="s">
        <v>1988</v>
      </c>
      <c r="H278" s="13" t="s">
        <v>1963</v>
      </c>
      <c r="I278" s="13" t="s">
        <v>1536</v>
      </c>
      <c r="J278" s="13" t="s">
        <v>1537</v>
      </c>
      <c r="K278" s="13" t="s">
        <v>1539</v>
      </c>
    </row>
    <row r="279" ht="15.75" customHeight="1">
      <c r="A279" s="13" t="s">
        <v>1986</v>
      </c>
      <c r="B279" s="13" t="s">
        <v>1987</v>
      </c>
      <c r="C279" s="13" t="s">
        <v>111</v>
      </c>
      <c r="D279" s="13" t="s">
        <v>136</v>
      </c>
      <c r="E279" s="13" t="s">
        <v>200</v>
      </c>
      <c r="F279" s="13">
        <v>10.0</v>
      </c>
      <c r="G279" s="13" t="s">
        <v>1988</v>
      </c>
      <c r="H279" s="13" t="s">
        <v>1963</v>
      </c>
      <c r="I279" s="13" t="s">
        <v>1192</v>
      </c>
      <c r="J279" s="13" t="s">
        <v>1537</v>
      </c>
      <c r="K279" s="13" t="s">
        <v>1539</v>
      </c>
    </row>
    <row r="280" ht="15.75" customHeight="1">
      <c r="A280" s="13" t="s">
        <v>1989</v>
      </c>
      <c r="B280" s="13" t="s">
        <v>1990</v>
      </c>
      <c r="C280" s="13" t="s">
        <v>111</v>
      </c>
      <c r="D280" s="13" t="s">
        <v>83</v>
      </c>
      <c r="E280" s="13" t="s">
        <v>200</v>
      </c>
      <c r="F280" s="13" t="s">
        <v>201</v>
      </c>
      <c r="G280" s="13"/>
      <c r="H280" s="13"/>
      <c r="I280" s="13" t="s">
        <v>1192</v>
      </c>
      <c r="J280" s="13" t="s">
        <v>203</v>
      </c>
      <c r="K280" s="13" t="s">
        <v>1193</v>
      </c>
    </row>
    <row r="281" ht="15.75" customHeight="1">
      <c r="A281" s="13" t="s">
        <v>1989</v>
      </c>
      <c r="B281" s="13" t="s">
        <v>1990</v>
      </c>
      <c r="C281" s="13" t="s">
        <v>111</v>
      </c>
      <c r="D281" s="13" t="s">
        <v>136</v>
      </c>
      <c r="E281" s="13" t="s">
        <v>200</v>
      </c>
      <c r="F281" s="13" t="s">
        <v>201</v>
      </c>
      <c r="G281" s="13"/>
      <c r="H281" s="13"/>
      <c r="I281" s="13" t="s">
        <v>1192</v>
      </c>
      <c r="J281" s="13" t="s">
        <v>203</v>
      </c>
      <c r="K281" s="13" t="s">
        <v>1193</v>
      </c>
    </row>
    <row r="282" ht="15.75" customHeight="1">
      <c r="A282" s="13" t="s">
        <v>1991</v>
      </c>
      <c r="B282" s="13" t="s">
        <v>1992</v>
      </c>
      <c r="C282" s="13" t="s">
        <v>111</v>
      </c>
      <c r="D282" s="13" t="s">
        <v>83</v>
      </c>
      <c r="E282" s="13" t="s">
        <v>200</v>
      </c>
      <c r="F282" s="13" t="s">
        <v>201</v>
      </c>
      <c r="G282" s="13"/>
      <c r="H282" s="13"/>
      <c r="I282" s="13" t="s">
        <v>1192</v>
      </c>
      <c r="J282" s="13" t="s">
        <v>203</v>
      </c>
      <c r="K282" s="13" t="s">
        <v>1193</v>
      </c>
    </row>
    <row r="283" ht="15.75" customHeight="1">
      <c r="A283" s="13" t="s">
        <v>1991</v>
      </c>
      <c r="B283" s="13" t="s">
        <v>1992</v>
      </c>
      <c r="C283" s="13" t="s">
        <v>111</v>
      </c>
      <c r="D283" s="13" t="s">
        <v>136</v>
      </c>
      <c r="E283" s="13" t="s">
        <v>200</v>
      </c>
      <c r="F283" s="13" t="s">
        <v>201</v>
      </c>
      <c r="G283" s="13"/>
      <c r="H283" s="13"/>
      <c r="I283" s="13" t="s">
        <v>1192</v>
      </c>
      <c r="J283" s="13" t="s">
        <v>203</v>
      </c>
      <c r="K283" s="13" t="s">
        <v>1193</v>
      </c>
    </row>
    <row r="284" ht="15.75" customHeight="1">
      <c r="A284" s="13" t="s">
        <v>1993</v>
      </c>
      <c r="B284" s="13" t="s">
        <v>1994</v>
      </c>
      <c r="C284" s="13" t="s">
        <v>111</v>
      </c>
      <c r="D284" s="13" t="s">
        <v>83</v>
      </c>
      <c r="E284" s="13" t="s">
        <v>200</v>
      </c>
      <c r="F284" s="13" t="s">
        <v>201</v>
      </c>
      <c r="G284" s="13"/>
      <c r="H284" s="13"/>
      <c r="I284" s="13" t="s">
        <v>1192</v>
      </c>
      <c r="J284" s="13" t="s">
        <v>203</v>
      </c>
      <c r="K284" s="13" t="s">
        <v>1193</v>
      </c>
    </row>
    <row r="285" ht="15.75" customHeight="1">
      <c r="A285" s="13" t="s">
        <v>1993</v>
      </c>
      <c r="B285" s="13" t="s">
        <v>1994</v>
      </c>
      <c r="C285" s="13" t="s">
        <v>111</v>
      </c>
      <c r="D285" s="13" t="s">
        <v>136</v>
      </c>
      <c r="E285" s="13" t="s">
        <v>200</v>
      </c>
      <c r="F285" s="13" t="s">
        <v>201</v>
      </c>
      <c r="G285" s="13"/>
      <c r="H285" s="13"/>
      <c r="I285" s="13" t="s">
        <v>1192</v>
      </c>
      <c r="J285" s="13" t="s">
        <v>203</v>
      </c>
      <c r="K285" s="13" t="s">
        <v>1193</v>
      </c>
    </row>
    <row r="286" ht="15.75" customHeight="1">
      <c r="A286" s="13" t="s">
        <v>1995</v>
      </c>
      <c r="B286" s="13" t="s">
        <v>1996</v>
      </c>
      <c r="C286" s="13" t="s">
        <v>111</v>
      </c>
      <c r="D286" s="13" t="s">
        <v>83</v>
      </c>
      <c r="E286" s="13" t="s">
        <v>1070</v>
      </c>
      <c r="F286" s="13">
        <v>4.0</v>
      </c>
      <c r="G286" s="13" t="s">
        <v>1997</v>
      </c>
      <c r="H286" s="13" t="s">
        <v>1535</v>
      </c>
      <c r="I286" s="13" t="s">
        <v>1536</v>
      </c>
      <c r="J286" s="13" t="s">
        <v>1537</v>
      </c>
      <c r="K286" s="13" t="s">
        <v>1539</v>
      </c>
    </row>
    <row r="287" ht="15.75" customHeight="1">
      <c r="A287" s="13" t="s">
        <v>1995</v>
      </c>
      <c r="B287" s="13" t="s">
        <v>1996</v>
      </c>
      <c r="C287" s="13" t="s">
        <v>111</v>
      </c>
      <c r="D287" s="13" t="s">
        <v>136</v>
      </c>
      <c r="E287" s="13" t="s">
        <v>200</v>
      </c>
      <c r="F287" s="13">
        <v>30.0</v>
      </c>
      <c r="G287" s="13" t="s">
        <v>1997</v>
      </c>
      <c r="H287" s="13" t="s">
        <v>1535</v>
      </c>
      <c r="I287" s="13" t="s">
        <v>1192</v>
      </c>
      <c r="J287" s="13" t="s">
        <v>1537</v>
      </c>
      <c r="K287" s="13" t="s">
        <v>1539</v>
      </c>
    </row>
    <row r="288" ht="15.75" customHeight="1">
      <c r="A288" s="13" t="s">
        <v>1998</v>
      </c>
      <c r="B288" s="13" t="s">
        <v>1999</v>
      </c>
      <c r="C288" s="13" t="s">
        <v>111</v>
      </c>
      <c r="D288" s="13" t="s">
        <v>83</v>
      </c>
      <c r="E288" s="13" t="s">
        <v>200</v>
      </c>
      <c r="F288" s="13" t="s">
        <v>201</v>
      </c>
      <c r="G288" s="13"/>
      <c r="H288" s="13"/>
      <c r="I288" s="13" t="s">
        <v>1192</v>
      </c>
      <c r="J288" s="13" t="s">
        <v>203</v>
      </c>
      <c r="K288" s="13" t="s">
        <v>1193</v>
      </c>
    </row>
    <row r="289" ht="15.75" customHeight="1">
      <c r="A289" s="13" t="s">
        <v>1998</v>
      </c>
      <c r="B289" s="13" t="s">
        <v>1999</v>
      </c>
      <c r="C289" s="13" t="s">
        <v>111</v>
      </c>
      <c r="D289" s="13" t="s">
        <v>136</v>
      </c>
      <c r="E289" s="13" t="s">
        <v>200</v>
      </c>
      <c r="F289" s="13" t="s">
        <v>201</v>
      </c>
      <c r="G289" s="13"/>
      <c r="H289" s="13"/>
      <c r="I289" s="13" t="s">
        <v>1192</v>
      </c>
      <c r="J289" s="13" t="s">
        <v>203</v>
      </c>
      <c r="K289" s="13" t="s">
        <v>1193</v>
      </c>
    </row>
    <row r="290" ht="15.75" customHeight="1">
      <c r="A290" s="13" t="s">
        <v>2000</v>
      </c>
      <c r="B290" s="13" t="s">
        <v>2001</v>
      </c>
      <c r="C290" s="13" t="s">
        <v>111</v>
      </c>
      <c r="D290" s="13" t="s">
        <v>83</v>
      </c>
      <c r="E290" s="13" t="s">
        <v>1313</v>
      </c>
      <c r="F290" s="13" t="s">
        <v>203</v>
      </c>
      <c r="G290" s="13"/>
      <c r="H290" s="13"/>
      <c r="I290" s="13" t="s">
        <v>1319</v>
      </c>
      <c r="J290" s="13" t="s">
        <v>203</v>
      </c>
      <c r="K290" s="13" t="s">
        <v>203</v>
      </c>
    </row>
    <row r="291" ht="15.75" customHeight="1">
      <c r="A291" s="13" t="s">
        <v>2000</v>
      </c>
      <c r="B291" s="13" t="s">
        <v>2001</v>
      </c>
      <c r="C291" s="13" t="s">
        <v>111</v>
      </c>
      <c r="D291" s="13" t="s">
        <v>136</v>
      </c>
      <c r="E291" s="13" t="s">
        <v>200</v>
      </c>
      <c r="F291" s="13" t="s">
        <v>201</v>
      </c>
      <c r="G291" s="13"/>
      <c r="H291" s="13"/>
      <c r="I291" s="13" t="s">
        <v>1329</v>
      </c>
      <c r="J291" s="13" t="s">
        <v>203</v>
      </c>
      <c r="K291" s="13" t="s">
        <v>1332</v>
      </c>
    </row>
    <row r="292" ht="15.75" customHeight="1">
      <c r="A292" s="13" t="s">
        <v>2002</v>
      </c>
      <c r="B292" s="13" t="s">
        <v>2003</v>
      </c>
      <c r="C292" s="13" t="s">
        <v>111</v>
      </c>
      <c r="D292" s="13" t="s">
        <v>83</v>
      </c>
      <c r="E292" s="13" t="s">
        <v>200</v>
      </c>
      <c r="F292" s="13" t="s">
        <v>201</v>
      </c>
      <c r="G292" s="13"/>
      <c r="H292" s="13"/>
      <c r="I292" s="13" t="s">
        <v>1192</v>
      </c>
      <c r="J292" s="13" t="s">
        <v>203</v>
      </c>
      <c r="K292" s="13" t="s">
        <v>1193</v>
      </c>
    </row>
    <row r="293" ht="15.75" customHeight="1">
      <c r="A293" s="13" t="s">
        <v>2002</v>
      </c>
      <c r="B293" s="13" t="s">
        <v>2003</v>
      </c>
      <c r="C293" s="13" t="s">
        <v>111</v>
      </c>
      <c r="D293" s="13" t="s">
        <v>136</v>
      </c>
      <c r="E293" s="13" t="s">
        <v>200</v>
      </c>
      <c r="F293" s="13" t="s">
        <v>201</v>
      </c>
      <c r="G293" s="13"/>
      <c r="H293" s="13"/>
      <c r="I293" s="13" t="s">
        <v>1192</v>
      </c>
      <c r="J293" s="13" t="s">
        <v>203</v>
      </c>
      <c r="K293" s="13" t="s">
        <v>1193</v>
      </c>
    </row>
    <row r="294" ht="15.75" customHeight="1">
      <c r="A294" s="13" t="s">
        <v>2004</v>
      </c>
      <c r="B294" s="13" t="s">
        <v>2005</v>
      </c>
      <c r="C294" s="13" t="s">
        <v>111</v>
      </c>
      <c r="D294" s="13" t="s">
        <v>83</v>
      </c>
      <c r="E294" s="13" t="s">
        <v>200</v>
      </c>
      <c r="F294" s="13" t="s">
        <v>201</v>
      </c>
      <c r="G294" s="13"/>
      <c r="H294" s="13"/>
      <c r="I294" s="13" t="s">
        <v>1192</v>
      </c>
      <c r="J294" s="13" t="s">
        <v>203</v>
      </c>
      <c r="K294" s="13" t="s">
        <v>1193</v>
      </c>
    </row>
    <row r="295" ht="15.75" customHeight="1">
      <c r="A295" s="13" t="s">
        <v>2004</v>
      </c>
      <c r="B295" s="13" t="s">
        <v>2005</v>
      </c>
      <c r="C295" s="13" t="s">
        <v>111</v>
      </c>
      <c r="D295" s="13" t="s">
        <v>136</v>
      </c>
      <c r="E295" s="13" t="s">
        <v>200</v>
      </c>
      <c r="F295" s="13" t="s">
        <v>201</v>
      </c>
      <c r="G295" s="13"/>
      <c r="H295" s="13"/>
      <c r="I295" s="13" t="s">
        <v>1192</v>
      </c>
      <c r="J295" s="13" t="s">
        <v>203</v>
      </c>
      <c r="K295" s="13" t="s">
        <v>1193</v>
      </c>
    </row>
    <row r="296" ht="15.75" customHeight="1">
      <c r="A296" s="13" t="s">
        <v>2006</v>
      </c>
      <c r="B296" s="13" t="s">
        <v>2007</v>
      </c>
      <c r="C296" s="13" t="s">
        <v>111</v>
      </c>
      <c r="D296" s="13" t="s">
        <v>83</v>
      </c>
      <c r="E296" s="13" t="s">
        <v>200</v>
      </c>
      <c r="F296" s="13" t="s">
        <v>201</v>
      </c>
      <c r="G296" s="13"/>
      <c r="H296" s="13"/>
      <c r="I296" s="13" t="s">
        <v>1192</v>
      </c>
      <c r="J296" s="13" t="s">
        <v>203</v>
      </c>
      <c r="K296" s="13" t="s">
        <v>1193</v>
      </c>
    </row>
    <row r="297" ht="15.75" customHeight="1">
      <c r="A297" s="13" t="s">
        <v>2006</v>
      </c>
      <c r="B297" s="13" t="s">
        <v>2007</v>
      </c>
      <c r="C297" s="13" t="s">
        <v>111</v>
      </c>
      <c r="D297" s="13" t="s">
        <v>136</v>
      </c>
      <c r="E297" s="13" t="s">
        <v>200</v>
      </c>
      <c r="F297" s="13" t="s">
        <v>201</v>
      </c>
      <c r="G297" s="13"/>
      <c r="H297" s="13"/>
      <c r="I297" s="13" t="s">
        <v>1192</v>
      </c>
      <c r="J297" s="13" t="s">
        <v>203</v>
      </c>
      <c r="K297" s="13" t="s">
        <v>1193</v>
      </c>
    </row>
    <row r="298" ht="15.75" customHeight="1">
      <c r="A298" s="13" t="s">
        <v>2008</v>
      </c>
      <c r="B298" s="13" t="s">
        <v>2009</v>
      </c>
      <c r="C298" s="13" t="s">
        <v>111</v>
      </c>
      <c r="D298" s="13" t="s">
        <v>83</v>
      </c>
      <c r="E298" s="13" t="s">
        <v>200</v>
      </c>
      <c r="F298" s="13" t="s">
        <v>201</v>
      </c>
      <c r="G298" s="13"/>
      <c r="H298" s="13"/>
      <c r="I298" s="13" t="s">
        <v>1192</v>
      </c>
      <c r="J298" s="13" t="s">
        <v>203</v>
      </c>
      <c r="K298" s="13" t="s">
        <v>1193</v>
      </c>
    </row>
    <row r="299" ht="15.75" customHeight="1">
      <c r="A299" s="13" t="s">
        <v>2008</v>
      </c>
      <c r="B299" s="13" t="s">
        <v>2009</v>
      </c>
      <c r="C299" s="13" t="s">
        <v>111</v>
      </c>
      <c r="D299" s="13" t="s">
        <v>136</v>
      </c>
      <c r="E299" s="13" t="s">
        <v>200</v>
      </c>
      <c r="F299" s="13" t="s">
        <v>201</v>
      </c>
      <c r="G299" s="13"/>
      <c r="H299" s="13"/>
      <c r="I299" s="13" t="s">
        <v>1192</v>
      </c>
      <c r="J299" s="13" t="s">
        <v>203</v>
      </c>
      <c r="K299" s="13" t="s">
        <v>1193</v>
      </c>
    </row>
    <row r="300" ht="15.75" customHeight="1">
      <c r="A300" s="13" t="s">
        <v>2010</v>
      </c>
      <c r="B300" s="13" t="s">
        <v>2011</v>
      </c>
      <c r="C300" s="13" t="s">
        <v>111</v>
      </c>
      <c r="D300" s="13" t="s">
        <v>83</v>
      </c>
      <c r="E300" s="13" t="s">
        <v>200</v>
      </c>
      <c r="F300" s="13" t="s">
        <v>201</v>
      </c>
      <c r="G300" s="13"/>
      <c r="H300" s="13"/>
      <c r="I300" s="13" t="s">
        <v>1192</v>
      </c>
      <c r="J300" s="13" t="s">
        <v>203</v>
      </c>
      <c r="K300" s="13" t="s">
        <v>1193</v>
      </c>
    </row>
    <row r="301" ht="15.75" customHeight="1">
      <c r="A301" s="13" t="s">
        <v>2010</v>
      </c>
      <c r="B301" s="13" t="s">
        <v>2011</v>
      </c>
      <c r="C301" s="13" t="s">
        <v>111</v>
      </c>
      <c r="D301" s="13" t="s">
        <v>136</v>
      </c>
      <c r="E301" s="13" t="s">
        <v>200</v>
      </c>
      <c r="F301" s="13" t="s">
        <v>201</v>
      </c>
      <c r="G301" s="13"/>
      <c r="H301" s="13"/>
      <c r="I301" s="13" t="s">
        <v>1192</v>
      </c>
      <c r="J301" s="13" t="s">
        <v>203</v>
      </c>
      <c r="K301" s="13" t="s">
        <v>1193</v>
      </c>
    </row>
    <row r="302" ht="15.75" customHeight="1">
      <c r="A302" s="13" t="s">
        <v>2012</v>
      </c>
      <c r="B302" s="13" t="s">
        <v>2013</v>
      </c>
      <c r="C302" s="13" t="s">
        <v>111</v>
      </c>
      <c r="D302" s="13" t="s">
        <v>83</v>
      </c>
      <c r="E302" s="13" t="s">
        <v>200</v>
      </c>
      <c r="F302" s="13" t="s">
        <v>201</v>
      </c>
      <c r="G302" s="13"/>
      <c r="H302" s="13"/>
      <c r="I302" s="13" t="s">
        <v>1192</v>
      </c>
      <c r="J302" s="13" t="s">
        <v>203</v>
      </c>
      <c r="K302" s="13" t="s">
        <v>1193</v>
      </c>
    </row>
    <row r="303" ht="15.75" customHeight="1">
      <c r="A303" s="13" t="s">
        <v>2012</v>
      </c>
      <c r="B303" s="13" t="s">
        <v>2013</v>
      </c>
      <c r="C303" s="13" t="s">
        <v>111</v>
      </c>
      <c r="D303" s="13" t="s">
        <v>136</v>
      </c>
      <c r="E303" s="13" t="s">
        <v>200</v>
      </c>
      <c r="F303" s="13" t="s">
        <v>201</v>
      </c>
      <c r="G303" s="13"/>
      <c r="H303" s="13"/>
      <c r="I303" s="13" t="s">
        <v>1192</v>
      </c>
      <c r="J303" s="13" t="s">
        <v>203</v>
      </c>
      <c r="K303" s="13" t="s">
        <v>1193</v>
      </c>
    </row>
    <row r="304" ht="15.75" customHeight="1">
      <c r="A304" s="13" t="s">
        <v>2014</v>
      </c>
      <c r="B304" s="13" t="s">
        <v>2015</v>
      </c>
      <c r="C304" s="13" t="s">
        <v>111</v>
      </c>
      <c r="D304" s="13" t="s">
        <v>83</v>
      </c>
      <c r="E304" s="13" t="s">
        <v>200</v>
      </c>
      <c r="F304" s="13" t="s">
        <v>201</v>
      </c>
      <c r="G304" s="13"/>
      <c r="H304" s="13"/>
      <c r="I304" s="13" t="s">
        <v>1192</v>
      </c>
      <c r="J304" s="13" t="s">
        <v>203</v>
      </c>
      <c r="K304" s="13" t="s">
        <v>1193</v>
      </c>
    </row>
    <row r="305" ht="15.75" customHeight="1">
      <c r="A305" s="13" t="s">
        <v>2014</v>
      </c>
      <c r="B305" s="13" t="s">
        <v>2015</v>
      </c>
      <c r="C305" s="13" t="s">
        <v>111</v>
      </c>
      <c r="D305" s="13" t="s">
        <v>136</v>
      </c>
      <c r="E305" s="13" t="s">
        <v>200</v>
      </c>
      <c r="F305" s="13" t="s">
        <v>201</v>
      </c>
      <c r="G305" s="13"/>
      <c r="H305" s="13"/>
      <c r="I305" s="13" t="s">
        <v>1192</v>
      </c>
      <c r="J305" s="13" t="s">
        <v>203</v>
      </c>
      <c r="K305" s="13" t="s">
        <v>1193</v>
      </c>
    </row>
    <row r="306" ht="15.75" customHeight="1">
      <c r="A306" s="13" t="s">
        <v>2016</v>
      </c>
      <c r="B306" s="13" t="s">
        <v>2017</v>
      </c>
      <c r="C306" s="13" t="s">
        <v>111</v>
      </c>
      <c r="D306" s="13" t="s">
        <v>83</v>
      </c>
      <c r="E306" s="13" t="s">
        <v>200</v>
      </c>
      <c r="F306" s="13" t="s">
        <v>201</v>
      </c>
      <c r="G306" s="13"/>
      <c r="H306" s="13"/>
      <c r="I306" s="13" t="s">
        <v>1192</v>
      </c>
      <c r="J306" s="13" t="s">
        <v>203</v>
      </c>
      <c r="K306" s="13" t="s">
        <v>1193</v>
      </c>
    </row>
    <row r="307" ht="15.75" customHeight="1">
      <c r="A307" s="13" t="s">
        <v>2016</v>
      </c>
      <c r="B307" s="13" t="s">
        <v>2017</v>
      </c>
      <c r="C307" s="13" t="s">
        <v>111</v>
      </c>
      <c r="D307" s="13" t="s">
        <v>136</v>
      </c>
      <c r="E307" s="13" t="s">
        <v>200</v>
      </c>
      <c r="F307" s="13" t="s">
        <v>201</v>
      </c>
      <c r="G307" s="13"/>
      <c r="H307" s="13"/>
      <c r="I307" s="13" t="s">
        <v>1192</v>
      </c>
      <c r="J307" s="13" t="s">
        <v>203</v>
      </c>
      <c r="K307" s="13" t="s">
        <v>1193</v>
      </c>
    </row>
    <row r="308" ht="15.75" customHeight="1">
      <c r="A308" s="13" t="s">
        <v>2018</v>
      </c>
      <c r="B308" s="13" t="s">
        <v>2019</v>
      </c>
      <c r="C308" s="13" t="s">
        <v>111</v>
      </c>
      <c r="D308" s="13" t="s">
        <v>83</v>
      </c>
      <c r="E308" s="13" t="s">
        <v>200</v>
      </c>
      <c r="F308" s="13" t="s">
        <v>201</v>
      </c>
      <c r="G308" s="13"/>
      <c r="H308" s="13"/>
      <c r="I308" s="13" t="s">
        <v>1192</v>
      </c>
      <c r="J308" s="13" t="s">
        <v>203</v>
      </c>
      <c r="K308" s="13" t="s">
        <v>1193</v>
      </c>
    </row>
    <row r="309" ht="15.75" customHeight="1">
      <c r="A309" s="13" t="s">
        <v>2018</v>
      </c>
      <c r="B309" s="13" t="s">
        <v>2019</v>
      </c>
      <c r="C309" s="13" t="s">
        <v>111</v>
      </c>
      <c r="D309" s="13" t="s">
        <v>136</v>
      </c>
      <c r="E309" s="13" t="s">
        <v>200</v>
      </c>
      <c r="F309" s="13" t="s">
        <v>201</v>
      </c>
      <c r="G309" s="13"/>
      <c r="H309" s="13"/>
      <c r="I309" s="13" t="s">
        <v>1192</v>
      </c>
      <c r="J309" s="13" t="s">
        <v>203</v>
      </c>
      <c r="K309" s="13" t="s">
        <v>1193</v>
      </c>
    </row>
    <row r="310" ht="15.75" customHeight="1">
      <c r="A310" s="13" t="s">
        <v>2020</v>
      </c>
      <c r="B310" s="13" t="s">
        <v>2021</v>
      </c>
      <c r="C310" s="13" t="s">
        <v>111</v>
      </c>
      <c r="D310" s="13" t="s">
        <v>83</v>
      </c>
      <c r="E310" s="13" t="s">
        <v>1313</v>
      </c>
      <c r="F310" s="13" t="s">
        <v>203</v>
      </c>
      <c r="G310" s="13"/>
      <c r="H310" s="13"/>
      <c r="I310" s="13" t="s">
        <v>1319</v>
      </c>
      <c r="J310" s="13" t="s">
        <v>203</v>
      </c>
      <c r="K310" s="13" t="s">
        <v>203</v>
      </c>
    </row>
    <row r="311" ht="15.75" customHeight="1">
      <c r="A311" s="13" t="s">
        <v>2020</v>
      </c>
      <c r="B311" s="13" t="s">
        <v>2021</v>
      </c>
      <c r="C311" s="13" t="s">
        <v>111</v>
      </c>
      <c r="D311" s="13" t="s">
        <v>136</v>
      </c>
      <c r="E311" s="13" t="s">
        <v>200</v>
      </c>
      <c r="F311" s="13" t="s">
        <v>201</v>
      </c>
      <c r="G311" s="13"/>
      <c r="H311" s="13"/>
      <c r="I311" s="13" t="s">
        <v>1329</v>
      </c>
      <c r="J311" s="13" t="s">
        <v>203</v>
      </c>
      <c r="K311" s="13" t="s">
        <v>1332</v>
      </c>
    </row>
    <row r="312" ht="15.75" customHeight="1">
      <c r="A312" s="13" t="s">
        <v>2022</v>
      </c>
      <c r="B312" s="13" t="s">
        <v>2023</v>
      </c>
      <c r="C312" s="13" t="s">
        <v>111</v>
      </c>
      <c r="D312" s="13" t="s">
        <v>83</v>
      </c>
      <c r="E312" s="13" t="s">
        <v>1313</v>
      </c>
      <c r="F312" s="13" t="s">
        <v>203</v>
      </c>
      <c r="G312" s="13"/>
      <c r="H312" s="13"/>
      <c r="I312" s="13" t="s">
        <v>1319</v>
      </c>
      <c r="J312" s="13" t="s">
        <v>203</v>
      </c>
      <c r="K312" s="13" t="s">
        <v>203</v>
      </c>
    </row>
    <row r="313" ht="15.75" customHeight="1">
      <c r="A313" s="13" t="s">
        <v>2022</v>
      </c>
      <c r="B313" s="13" t="s">
        <v>2023</v>
      </c>
      <c r="C313" s="13" t="s">
        <v>111</v>
      </c>
      <c r="D313" s="13" t="s">
        <v>136</v>
      </c>
      <c r="E313" s="13" t="s">
        <v>200</v>
      </c>
      <c r="F313" s="13" t="s">
        <v>201</v>
      </c>
      <c r="G313" s="13"/>
      <c r="H313" s="13"/>
      <c r="I313" s="13" t="s">
        <v>1329</v>
      </c>
      <c r="J313" s="13" t="s">
        <v>203</v>
      </c>
      <c r="K313" s="13" t="s">
        <v>1332</v>
      </c>
    </row>
    <row r="314" ht="15.75" customHeight="1">
      <c r="A314" s="13" t="s">
        <v>2024</v>
      </c>
      <c r="B314" s="13" t="s">
        <v>2025</v>
      </c>
      <c r="C314" s="13" t="s">
        <v>111</v>
      </c>
      <c r="D314" s="13" t="s">
        <v>83</v>
      </c>
      <c r="E314" s="13" t="s">
        <v>200</v>
      </c>
      <c r="F314" s="13" t="s">
        <v>201</v>
      </c>
      <c r="G314" s="13"/>
      <c r="H314" s="13"/>
      <c r="I314" s="13" t="s">
        <v>1192</v>
      </c>
      <c r="J314" s="13" t="s">
        <v>203</v>
      </c>
      <c r="K314" s="13" t="s">
        <v>1193</v>
      </c>
    </row>
    <row r="315" ht="15.75" customHeight="1">
      <c r="A315" s="13" t="s">
        <v>2024</v>
      </c>
      <c r="B315" s="13" t="s">
        <v>2025</v>
      </c>
      <c r="C315" s="13" t="s">
        <v>111</v>
      </c>
      <c r="D315" s="13" t="s">
        <v>136</v>
      </c>
      <c r="E315" s="13" t="s">
        <v>200</v>
      </c>
      <c r="F315" s="13" t="s">
        <v>201</v>
      </c>
      <c r="G315" s="13"/>
      <c r="H315" s="13"/>
      <c r="I315" s="13" t="s">
        <v>1192</v>
      </c>
      <c r="J315" s="13" t="s">
        <v>203</v>
      </c>
      <c r="K315" s="13" t="s">
        <v>1193</v>
      </c>
    </row>
    <row r="316" ht="15.75" customHeight="1">
      <c r="A316" s="13" t="s">
        <v>2026</v>
      </c>
      <c r="B316" s="13" t="s">
        <v>952</v>
      </c>
      <c r="C316" s="13" t="s">
        <v>111</v>
      </c>
      <c r="D316" s="13" t="s">
        <v>83</v>
      </c>
      <c r="E316" s="13" t="s">
        <v>200</v>
      </c>
      <c r="F316" s="13" t="s">
        <v>201</v>
      </c>
      <c r="G316" s="13"/>
      <c r="H316" s="13"/>
      <c r="I316" s="13" t="s">
        <v>1192</v>
      </c>
      <c r="J316" s="13" t="s">
        <v>203</v>
      </c>
      <c r="K316" s="13" t="s">
        <v>1193</v>
      </c>
    </row>
    <row r="317" ht="15.75" customHeight="1">
      <c r="A317" s="13" t="s">
        <v>2026</v>
      </c>
      <c r="B317" s="13" t="s">
        <v>952</v>
      </c>
      <c r="C317" s="13" t="s">
        <v>111</v>
      </c>
      <c r="D317" s="13" t="s">
        <v>136</v>
      </c>
      <c r="E317" s="13" t="s">
        <v>200</v>
      </c>
      <c r="F317" s="13" t="s">
        <v>201</v>
      </c>
      <c r="G317" s="13"/>
      <c r="H317" s="13"/>
      <c r="I317" s="13" t="s">
        <v>1192</v>
      </c>
      <c r="J317" s="13" t="s">
        <v>203</v>
      </c>
      <c r="K317" s="13" t="s">
        <v>1193</v>
      </c>
    </row>
    <row r="318" ht="15.75" customHeight="1">
      <c r="A318" s="13" t="s">
        <v>2027</v>
      </c>
      <c r="B318" s="13" t="s">
        <v>2028</v>
      </c>
      <c r="C318" s="13" t="s">
        <v>111</v>
      </c>
      <c r="D318" s="13" t="s">
        <v>83</v>
      </c>
      <c r="E318" s="13" t="s">
        <v>1070</v>
      </c>
      <c r="F318" s="13">
        <v>10.0</v>
      </c>
      <c r="G318" s="13" t="s">
        <v>2029</v>
      </c>
      <c r="H318" s="13" t="s">
        <v>1535</v>
      </c>
      <c r="I318" s="13" t="s">
        <v>1536</v>
      </c>
      <c r="J318" s="13" t="s">
        <v>1537</v>
      </c>
      <c r="K318" s="13" t="s">
        <v>1539</v>
      </c>
    </row>
    <row r="319" ht="15.75" customHeight="1">
      <c r="A319" s="13" t="s">
        <v>2027</v>
      </c>
      <c r="B319" s="13" t="s">
        <v>2028</v>
      </c>
      <c r="C319" s="13" t="s">
        <v>111</v>
      </c>
      <c r="D319" s="13" t="s">
        <v>136</v>
      </c>
      <c r="E319" s="13" t="s">
        <v>200</v>
      </c>
      <c r="F319" s="13">
        <v>300.0</v>
      </c>
      <c r="G319" s="13" t="s">
        <v>2029</v>
      </c>
      <c r="H319" s="13" t="s">
        <v>1535</v>
      </c>
      <c r="I319" s="13" t="s">
        <v>1192</v>
      </c>
      <c r="J319" s="13" t="s">
        <v>1537</v>
      </c>
      <c r="K319" s="13" t="s">
        <v>1539</v>
      </c>
    </row>
    <row r="320" ht="15.75" customHeight="1">
      <c r="A320" s="13" t="s">
        <v>2030</v>
      </c>
      <c r="B320" s="13" t="s">
        <v>2031</v>
      </c>
      <c r="C320" s="13" t="s">
        <v>111</v>
      </c>
      <c r="D320" s="13" t="s">
        <v>83</v>
      </c>
      <c r="E320" s="13" t="s">
        <v>1070</v>
      </c>
      <c r="F320" s="13">
        <v>10.0</v>
      </c>
      <c r="G320" s="13" t="s">
        <v>2032</v>
      </c>
      <c r="H320" s="13" t="s">
        <v>1535</v>
      </c>
      <c r="I320" s="13" t="s">
        <v>1536</v>
      </c>
      <c r="J320" s="13" t="s">
        <v>1537</v>
      </c>
      <c r="K320" s="13" t="s">
        <v>1539</v>
      </c>
    </row>
    <row r="321" ht="15.75" customHeight="1">
      <c r="A321" s="13" t="s">
        <v>2030</v>
      </c>
      <c r="B321" s="13" t="s">
        <v>2031</v>
      </c>
      <c r="C321" s="13" t="s">
        <v>111</v>
      </c>
      <c r="D321" s="13" t="s">
        <v>136</v>
      </c>
      <c r="E321" s="13" t="s">
        <v>200</v>
      </c>
      <c r="F321" s="13">
        <v>300.0</v>
      </c>
      <c r="G321" s="13" t="s">
        <v>2032</v>
      </c>
      <c r="H321" s="13" t="s">
        <v>1535</v>
      </c>
      <c r="I321" s="13" t="s">
        <v>1192</v>
      </c>
      <c r="J321" s="13" t="s">
        <v>1537</v>
      </c>
      <c r="K321" s="13" t="s">
        <v>1539</v>
      </c>
    </row>
    <row r="322" ht="15.75" customHeight="1">
      <c r="A322" s="13" t="s">
        <v>2033</v>
      </c>
      <c r="B322" s="13" t="s">
        <v>1162</v>
      </c>
      <c r="C322" s="13" t="s">
        <v>111</v>
      </c>
      <c r="D322" s="13" t="s">
        <v>83</v>
      </c>
      <c r="E322" s="13" t="s">
        <v>200</v>
      </c>
      <c r="F322" s="13" t="s">
        <v>201</v>
      </c>
      <c r="G322" s="13"/>
      <c r="H322" s="13"/>
      <c r="I322" s="13" t="s">
        <v>1192</v>
      </c>
      <c r="J322" s="13" t="s">
        <v>203</v>
      </c>
      <c r="K322" s="13" t="s">
        <v>1193</v>
      </c>
    </row>
    <row r="323" ht="15.75" customHeight="1">
      <c r="A323" s="13" t="s">
        <v>2033</v>
      </c>
      <c r="B323" s="13" t="s">
        <v>1162</v>
      </c>
      <c r="C323" s="13" t="s">
        <v>111</v>
      </c>
      <c r="D323" s="13" t="s">
        <v>136</v>
      </c>
      <c r="E323" s="13" t="s">
        <v>200</v>
      </c>
      <c r="F323" s="13" t="s">
        <v>201</v>
      </c>
      <c r="G323" s="13"/>
      <c r="H323" s="13"/>
      <c r="I323" s="13" t="s">
        <v>1192</v>
      </c>
      <c r="J323" s="13" t="s">
        <v>203</v>
      </c>
      <c r="K323" s="13" t="s">
        <v>1193</v>
      </c>
    </row>
    <row r="324" ht="15.75" customHeight="1">
      <c r="A324" s="13" t="s">
        <v>2034</v>
      </c>
      <c r="B324" s="13" t="s">
        <v>2035</v>
      </c>
      <c r="C324" s="13" t="s">
        <v>111</v>
      </c>
      <c r="D324" s="13" t="s">
        <v>83</v>
      </c>
      <c r="E324" s="13" t="s">
        <v>1313</v>
      </c>
      <c r="F324" s="13" t="s">
        <v>203</v>
      </c>
      <c r="G324" s="13"/>
      <c r="H324" s="13"/>
      <c r="I324" s="13" t="s">
        <v>1319</v>
      </c>
      <c r="J324" s="13" t="s">
        <v>203</v>
      </c>
      <c r="K324" s="13" t="s">
        <v>203</v>
      </c>
    </row>
    <row r="325" ht="15.75" customHeight="1">
      <c r="A325" s="13" t="s">
        <v>2034</v>
      </c>
      <c r="B325" s="13" t="s">
        <v>2035</v>
      </c>
      <c r="C325" s="13" t="s">
        <v>111</v>
      </c>
      <c r="D325" s="13" t="s">
        <v>136</v>
      </c>
      <c r="E325" s="13" t="s">
        <v>200</v>
      </c>
      <c r="F325" s="13" t="s">
        <v>201</v>
      </c>
      <c r="G325" s="13"/>
      <c r="H325" s="13"/>
      <c r="I325" s="13" t="s">
        <v>1329</v>
      </c>
      <c r="J325" s="13" t="s">
        <v>203</v>
      </c>
      <c r="K325" s="13" t="s">
        <v>1332</v>
      </c>
    </row>
    <row r="326" ht="15.75" customHeight="1">
      <c r="A326" s="13" t="s">
        <v>2036</v>
      </c>
      <c r="B326" s="13" t="s">
        <v>2037</v>
      </c>
      <c r="C326" s="13" t="s">
        <v>111</v>
      </c>
      <c r="D326" s="13" t="s">
        <v>83</v>
      </c>
      <c r="E326" s="13" t="s">
        <v>1313</v>
      </c>
      <c r="F326" s="13" t="s">
        <v>203</v>
      </c>
      <c r="G326" s="13"/>
      <c r="H326" s="13"/>
      <c r="I326" s="13" t="s">
        <v>1319</v>
      </c>
      <c r="J326" s="13" t="s">
        <v>203</v>
      </c>
      <c r="K326" s="13" t="s">
        <v>203</v>
      </c>
    </row>
    <row r="327" ht="15.75" customHeight="1">
      <c r="A327" s="13" t="s">
        <v>2036</v>
      </c>
      <c r="B327" s="13" t="s">
        <v>2037</v>
      </c>
      <c r="C327" s="13" t="s">
        <v>111</v>
      </c>
      <c r="D327" s="13" t="s">
        <v>136</v>
      </c>
      <c r="E327" s="13" t="s">
        <v>200</v>
      </c>
      <c r="F327" s="13" t="s">
        <v>201</v>
      </c>
      <c r="G327" s="13"/>
      <c r="H327" s="13"/>
      <c r="I327" s="13" t="s">
        <v>1329</v>
      </c>
      <c r="J327" s="13" t="s">
        <v>203</v>
      </c>
      <c r="K327" s="13" t="s">
        <v>1332</v>
      </c>
    </row>
    <row r="328" ht="15.75" customHeight="1">
      <c r="A328" s="13" t="s">
        <v>2038</v>
      </c>
      <c r="B328" s="13" t="s">
        <v>2039</v>
      </c>
      <c r="C328" s="13" t="s">
        <v>111</v>
      </c>
      <c r="D328" s="13" t="s">
        <v>83</v>
      </c>
      <c r="E328" s="13" t="s">
        <v>1313</v>
      </c>
      <c r="F328" s="13" t="s">
        <v>203</v>
      </c>
      <c r="G328" s="13"/>
      <c r="H328" s="13"/>
      <c r="I328" s="13" t="s">
        <v>1319</v>
      </c>
      <c r="J328" s="13" t="s">
        <v>203</v>
      </c>
      <c r="K328" s="13" t="s">
        <v>203</v>
      </c>
    </row>
    <row r="329" ht="15.75" customHeight="1">
      <c r="A329" s="13" t="s">
        <v>2038</v>
      </c>
      <c r="B329" s="13" t="s">
        <v>2039</v>
      </c>
      <c r="C329" s="13" t="s">
        <v>111</v>
      </c>
      <c r="D329" s="13" t="s">
        <v>136</v>
      </c>
      <c r="E329" s="13" t="s">
        <v>200</v>
      </c>
      <c r="F329" s="13" t="s">
        <v>201</v>
      </c>
      <c r="G329" s="13"/>
      <c r="H329" s="13"/>
      <c r="I329" s="13" t="s">
        <v>1329</v>
      </c>
      <c r="J329" s="13" t="s">
        <v>203</v>
      </c>
      <c r="K329" s="13" t="s">
        <v>1332</v>
      </c>
    </row>
    <row r="330" ht="15.75" customHeight="1">
      <c r="A330" s="13" t="s">
        <v>2040</v>
      </c>
      <c r="B330" s="13" t="s">
        <v>2041</v>
      </c>
      <c r="C330" s="13" t="s">
        <v>111</v>
      </c>
      <c r="D330" s="13" t="s">
        <v>83</v>
      </c>
      <c r="E330" s="13" t="s">
        <v>1313</v>
      </c>
      <c r="F330" s="13" t="s">
        <v>203</v>
      </c>
      <c r="G330" s="13"/>
      <c r="H330" s="13"/>
      <c r="I330" s="13" t="s">
        <v>1319</v>
      </c>
      <c r="J330" s="13" t="s">
        <v>203</v>
      </c>
      <c r="K330" s="13" t="s">
        <v>203</v>
      </c>
    </row>
    <row r="331" ht="15.75" customHeight="1">
      <c r="A331" s="13" t="s">
        <v>2040</v>
      </c>
      <c r="B331" s="13" t="s">
        <v>2041</v>
      </c>
      <c r="C331" s="13" t="s">
        <v>111</v>
      </c>
      <c r="D331" s="13" t="s">
        <v>136</v>
      </c>
      <c r="E331" s="13" t="s">
        <v>200</v>
      </c>
      <c r="F331" s="13" t="s">
        <v>201</v>
      </c>
      <c r="G331" s="13"/>
      <c r="H331" s="13"/>
      <c r="I331" s="13" t="s">
        <v>1329</v>
      </c>
      <c r="J331" s="13" t="s">
        <v>203</v>
      </c>
      <c r="K331" s="13" t="s">
        <v>1332</v>
      </c>
    </row>
    <row r="332" ht="15.75" customHeight="1">
      <c r="A332" s="13" t="s">
        <v>2042</v>
      </c>
      <c r="B332" s="13" t="s">
        <v>2043</v>
      </c>
      <c r="C332" s="13" t="s">
        <v>111</v>
      </c>
      <c r="D332" s="13" t="s">
        <v>83</v>
      </c>
      <c r="E332" s="13" t="s">
        <v>1313</v>
      </c>
      <c r="F332" s="13" t="s">
        <v>203</v>
      </c>
      <c r="G332" s="13"/>
      <c r="H332" s="13"/>
      <c r="I332" s="13" t="s">
        <v>1319</v>
      </c>
      <c r="J332" s="13" t="s">
        <v>203</v>
      </c>
      <c r="K332" s="13" t="s">
        <v>203</v>
      </c>
    </row>
    <row r="333" ht="15.75" customHeight="1">
      <c r="A333" s="13" t="s">
        <v>2042</v>
      </c>
      <c r="B333" s="13" t="s">
        <v>2043</v>
      </c>
      <c r="C333" s="13" t="s">
        <v>111</v>
      </c>
      <c r="D333" s="13" t="s">
        <v>136</v>
      </c>
      <c r="E333" s="13" t="s">
        <v>200</v>
      </c>
      <c r="F333" s="13" t="s">
        <v>201</v>
      </c>
      <c r="G333" s="13"/>
      <c r="H333" s="13"/>
      <c r="I333" s="13" t="s">
        <v>1329</v>
      </c>
      <c r="J333" s="13" t="s">
        <v>203</v>
      </c>
      <c r="K333" s="13" t="s">
        <v>1332</v>
      </c>
    </row>
    <row r="334" ht="15.75" customHeight="1">
      <c r="A334" s="13" t="s">
        <v>2044</v>
      </c>
      <c r="B334" s="13" t="s">
        <v>2045</v>
      </c>
      <c r="C334" s="13" t="s">
        <v>111</v>
      </c>
      <c r="D334" s="13" t="s">
        <v>83</v>
      </c>
      <c r="E334" s="13" t="s">
        <v>1313</v>
      </c>
      <c r="F334" s="13" t="s">
        <v>203</v>
      </c>
      <c r="G334" s="13"/>
      <c r="H334" s="13"/>
      <c r="I334" s="13" t="s">
        <v>1319</v>
      </c>
      <c r="J334" s="13" t="s">
        <v>203</v>
      </c>
      <c r="K334" s="13" t="s">
        <v>203</v>
      </c>
    </row>
    <row r="335" ht="15.75" customHeight="1">
      <c r="A335" s="13" t="s">
        <v>2044</v>
      </c>
      <c r="B335" s="13" t="s">
        <v>2045</v>
      </c>
      <c r="C335" s="13" t="s">
        <v>111</v>
      </c>
      <c r="D335" s="13" t="s">
        <v>136</v>
      </c>
      <c r="E335" s="13" t="s">
        <v>200</v>
      </c>
      <c r="F335" s="13" t="s">
        <v>201</v>
      </c>
      <c r="G335" s="13"/>
      <c r="H335" s="13"/>
      <c r="I335" s="13" t="s">
        <v>1329</v>
      </c>
      <c r="J335" s="13" t="s">
        <v>203</v>
      </c>
      <c r="K335" s="13" t="s">
        <v>1332</v>
      </c>
    </row>
    <row r="336" ht="15.75" customHeight="1">
      <c r="A336" s="13" t="s">
        <v>2046</v>
      </c>
      <c r="B336" s="13" t="s">
        <v>2047</v>
      </c>
      <c r="C336" s="13" t="s">
        <v>111</v>
      </c>
      <c r="D336" s="13" t="s">
        <v>83</v>
      </c>
      <c r="E336" s="13" t="s">
        <v>1070</v>
      </c>
      <c r="F336" s="13">
        <v>10.0</v>
      </c>
      <c r="G336" s="13" t="s">
        <v>2048</v>
      </c>
      <c r="H336" s="13" t="s">
        <v>1535</v>
      </c>
      <c r="I336" s="13" t="s">
        <v>1536</v>
      </c>
      <c r="J336" s="13" t="s">
        <v>1537</v>
      </c>
      <c r="K336" s="13" t="s">
        <v>1539</v>
      </c>
    </row>
    <row r="337" ht="15.75" customHeight="1">
      <c r="A337" s="13" t="s">
        <v>2046</v>
      </c>
      <c r="B337" s="13" t="s">
        <v>2047</v>
      </c>
      <c r="C337" s="13" t="s">
        <v>111</v>
      </c>
      <c r="D337" s="13" t="s">
        <v>136</v>
      </c>
      <c r="E337" s="13" t="s">
        <v>200</v>
      </c>
      <c r="F337" s="13">
        <v>200.0</v>
      </c>
      <c r="G337" s="13" t="s">
        <v>2048</v>
      </c>
      <c r="H337" s="13" t="s">
        <v>1535</v>
      </c>
      <c r="I337" s="13" t="s">
        <v>1192</v>
      </c>
      <c r="J337" s="13" t="s">
        <v>1537</v>
      </c>
      <c r="K337" s="13" t="s">
        <v>1539</v>
      </c>
    </row>
    <row r="338" ht="15.75" customHeight="1">
      <c r="A338" s="13" t="s">
        <v>2049</v>
      </c>
      <c r="B338" s="13" t="s">
        <v>2050</v>
      </c>
      <c r="C338" s="13" t="s">
        <v>111</v>
      </c>
      <c r="D338" s="13" t="s">
        <v>83</v>
      </c>
      <c r="E338" s="13" t="s">
        <v>1070</v>
      </c>
      <c r="F338" s="13">
        <v>10.0</v>
      </c>
      <c r="G338" s="13" t="s">
        <v>2051</v>
      </c>
      <c r="H338" s="13" t="s">
        <v>1535</v>
      </c>
      <c r="I338" s="13" t="s">
        <v>1536</v>
      </c>
      <c r="J338" s="13" t="s">
        <v>1537</v>
      </c>
      <c r="K338" s="13" t="s">
        <v>1539</v>
      </c>
    </row>
    <row r="339" ht="15.75" customHeight="1">
      <c r="A339" s="13" t="s">
        <v>2049</v>
      </c>
      <c r="B339" s="13" t="s">
        <v>2050</v>
      </c>
      <c r="C339" s="13" t="s">
        <v>111</v>
      </c>
      <c r="D339" s="13" t="s">
        <v>136</v>
      </c>
      <c r="E339" s="13" t="s">
        <v>200</v>
      </c>
      <c r="F339" s="13">
        <v>200.0</v>
      </c>
      <c r="G339" s="13" t="s">
        <v>2051</v>
      </c>
      <c r="H339" s="13" t="s">
        <v>1535</v>
      </c>
      <c r="I339" s="13" t="s">
        <v>1192</v>
      </c>
      <c r="J339" s="13" t="s">
        <v>1537</v>
      </c>
      <c r="K339" s="13" t="s">
        <v>1539</v>
      </c>
    </row>
    <row r="340" ht="15.75" customHeight="1">
      <c r="A340" s="13" t="s">
        <v>2052</v>
      </c>
      <c r="B340" s="13" t="s">
        <v>2053</v>
      </c>
      <c r="C340" s="13" t="s">
        <v>111</v>
      </c>
      <c r="D340" s="13" t="s">
        <v>83</v>
      </c>
      <c r="E340" s="13" t="s">
        <v>1070</v>
      </c>
      <c r="F340" s="13">
        <v>20.0</v>
      </c>
      <c r="G340" s="13" t="s">
        <v>2054</v>
      </c>
      <c r="H340" s="13" t="s">
        <v>1535</v>
      </c>
      <c r="I340" s="13" t="s">
        <v>1536</v>
      </c>
      <c r="J340" s="13" t="s">
        <v>1537</v>
      </c>
      <c r="K340" s="13" t="s">
        <v>1539</v>
      </c>
    </row>
    <row r="341" ht="15.75" customHeight="1">
      <c r="A341" s="13" t="s">
        <v>2052</v>
      </c>
      <c r="B341" s="13" t="s">
        <v>2053</v>
      </c>
      <c r="C341" s="13" t="s">
        <v>111</v>
      </c>
      <c r="D341" s="13" t="s">
        <v>136</v>
      </c>
      <c r="E341" s="13" t="s">
        <v>200</v>
      </c>
      <c r="F341" s="13">
        <v>300.0</v>
      </c>
      <c r="G341" s="13" t="s">
        <v>2054</v>
      </c>
      <c r="H341" s="13" t="s">
        <v>1535</v>
      </c>
      <c r="I341" s="13" t="s">
        <v>1192</v>
      </c>
      <c r="J341" s="13" t="s">
        <v>1537</v>
      </c>
      <c r="K341" s="13" t="s">
        <v>1539</v>
      </c>
    </row>
    <row r="342" ht="15.75" customHeight="1">
      <c r="A342" s="13" t="s">
        <v>2055</v>
      </c>
      <c r="B342" s="13" t="s">
        <v>2056</v>
      </c>
      <c r="C342" s="13" t="s">
        <v>111</v>
      </c>
      <c r="D342" s="13" t="s">
        <v>83</v>
      </c>
      <c r="E342" s="13" t="s">
        <v>1070</v>
      </c>
      <c r="F342" s="13">
        <v>20.0</v>
      </c>
      <c r="G342" s="13" t="s">
        <v>2054</v>
      </c>
      <c r="H342" s="13" t="s">
        <v>1535</v>
      </c>
      <c r="I342" s="13" t="s">
        <v>1536</v>
      </c>
      <c r="J342" s="13" t="s">
        <v>1537</v>
      </c>
      <c r="K342" s="13" t="s">
        <v>1539</v>
      </c>
    </row>
    <row r="343" ht="15.75" customHeight="1">
      <c r="A343" s="13" t="s">
        <v>2055</v>
      </c>
      <c r="B343" s="13" t="s">
        <v>2056</v>
      </c>
      <c r="C343" s="13" t="s">
        <v>111</v>
      </c>
      <c r="D343" s="13" t="s">
        <v>136</v>
      </c>
      <c r="E343" s="13" t="s">
        <v>200</v>
      </c>
      <c r="F343" s="13">
        <v>300.0</v>
      </c>
      <c r="G343" s="13" t="s">
        <v>2054</v>
      </c>
      <c r="H343" s="13" t="s">
        <v>1535</v>
      </c>
      <c r="I343" s="13" t="s">
        <v>1192</v>
      </c>
      <c r="J343" s="13" t="s">
        <v>1537</v>
      </c>
      <c r="K343" s="13" t="s">
        <v>1539</v>
      </c>
    </row>
    <row r="344" ht="15.75" customHeight="1">
      <c r="A344" s="13" t="s">
        <v>2057</v>
      </c>
      <c r="B344" s="13" t="s">
        <v>2058</v>
      </c>
      <c r="C344" s="13" t="s">
        <v>111</v>
      </c>
      <c r="D344" s="13" t="s">
        <v>83</v>
      </c>
      <c r="E344" s="13" t="s">
        <v>200</v>
      </c>
      <c r="F344" s="13" t="s">
        <v>201</v>
      </c>
      <c r="G344" s="13"/>
      <c r="H344" s="13"/>
      <c r="I344" s="13" t="s">
        <v>1192</v>
      </c>
      <c r="J344" s="13" t="s">
        <v>203</v>
      </c>
      <c r="K344" s="13" t="s">
        <v>1193</v>
      </c>
    </row>
    <row r="345" ht="15.75" customHeight="1">
      <c r="A345" s="13" t="s">
        <v>2057</v>
      </c>
      <c r="B345" s="13" t="s">
        <v>2058</v>
      </c>
      <c r="C345" s="13" t="s">
        <v>111</v>
      </c>
      <c r="D345" s="13" t="s">
        <v>136</v>
      </c>
      <c r="E345" s="13" t="s">
        <v>200</v>
      </c>
      <c r="F345" s="13" t="s">
        <v>201</v>
      </c>
      <c r="G345" s="13"/>
      <c r="H345" s="13"/>
      <c r="I345" s="13" t="s">
        <v>1192</v>
      </c>
      <c r="J345" s="13" t="s">
        <v>203</v>
      </c>
      <c r="K345" s="13" t="s">
        <v>1193</v>
      </c>
    </row>
    <row r="346" ht="15.75" customHeight="1">
      <c r="A346" s="13" t="s">
        <v>2059</v>
      </c>
      <c r="B346" s="13" t="s">
        <v>2060</v>
      </c>
      <c r="C346" s="13" t="s">
        <v>111</v>
      </c>
      <c r="D346" s="13" t="s">
        <v>83</v>
      </c>
      <c r="E346" s="13" t="s">
        <v>200</v>
      </c>
      <c r="F346" s="13" t="s">
        <v>201</v>
      </c>
      <c r="G346" s="13"/>
      <c r="H346" s="13"/>
      <c r="I346" s="13" t="s">
        <v>1192</v>
      </c>
      <c r="J346" s="13" t="s">
        <v>203</v>
      </c>
      <c r="K346" s="13" t="s">
        <v>1193</v>
      </c>
    </row>
    <row r="347" ht="15.75" customHeight="1">
      <c r="A347" s="13" t="s">
        <v>2059</v>
      </c>
      <c r="B347" s="13" t="s">
        <v>2060</v>
      </c>
      <c r="C347" s="13" t="s">
        <v>111</v>
      </c>
      <c r="D347" s="13" t="s">
        <v>136</v>
      </c>
      <c r="E347" s="13" t="s">
        <v>200</v>
      </c>
      <c r="F347" s="13" t="s">
        <v>201</v>
      </c>
      <c r="G347" s="13"/>
      <c r="H347" s="13"/>
      <c r="I347" s="13" t="s">
        <v>1192</v>
      </c>
      <c r="J347" s="13" t="s">
        <v>203</v>
      </c>
      <c r="K347" s="13" t="s">
        <v>1193</v>
      </c>
    </row>
    <row r="348" ht="15.75" customHeight="1">
      <c r="A348" s="13" t="s">
        <v>2061</v>
      </c>
      <c r="B348" s="13" t="s">
        <v>2062</v>
      </c>
      <c r="C348" s="13" t="s">
        <v>111</v>
      </c>
      <c r="D348" s="13" t="s">
        <v>83</v>
      </c>
      <c r="E348" s="13" t="s">
        <v>200</v>
      </c>
      <c r="F348" s="13" t="s">
        <v>201</v>
      </c>
      <c r="G348" s="13"/>
      <c r="H348" s="13"/>
      <c r="I348" s="13" t="s">
        <v>1192</v>
      </c>
      <c r="J348" s="13" t="s">
        <v>203</v>
      </c>
      <c r="K348" s="13" t="s">
        <v>1193</v>
      </c>
    </row>
    <row r="349" ht="15.75" customHeight="1">
      <c r="A349" s="13" t="s">
        <v>2061</v>
      </c>
      <c r="B349" s="13" t="s">
        <v>2062</v>
      </c>
      <c r="C349" s="13" t="s">
        <v>111</v>
      </c>
      <c r="D349" s="13" t="s">
        <v>136</v>
      </c>
      <c r="E349" s="13" t="s">
        <v>200</v>
      </c>
      <c r="F349" s="13" t="s">
        <v>201</v>
      </c>
      <c r="G349" s="13"/>
      <c r="H349" s="13"/>
      <c r="I349" s="13" t="s">
        <v>1192</v>
      </c>
      <c r="J349" s="13" t="s">
        <v>203</v>
      </c>
      <c r="K349" s="13" t="s">
        <v>1193</v>
      </c>
    </row>
    <row r="350" ht="15.75" customHeight="1">
      <c r="A350" s="13" t="s">
        <v>2063</v>
      </c>
      <c r="B350" s="13" t="s">
        <v>2064</v>
      </c>
      <c r="C350" s="13" t="s">
        <v>111</v>
      </c>
      <c r="D350" s="13" t="s">
        <v>83</v>
      </c>
      <c r="E350" s="13" t="s">
        <v>200</v>
      </c>
      <c r="F350" s="13" t="s">
        <v>201</v>
      </c>
      <c r="G350" s="13"/>
      <c r="H350" s="13"/>
      <c r="I350" s="13" t="s">
        <v>1192</v>
      </c>
      <c r="J350" s="13" t="s">
        <v>203</v>
      </c>
      <c r="K350" s="13" t="s">
        <v>1193</v>
      </c>
    </row>
    <row r="351" ht="15.75" customHeight="1">
      <c r="A351" s="13" t="s">
        <v>2063</v>
      </c>
      <c r="B351" s="13" t="s">
        <v>2064</v>
      </c>
      <c r="C351" s="13" t="s">
        <v>111</v>
      </c>
      <c r="D351" s="13" t="s">
        <v>136</v>
      </c>
      <c r="E351" s="13" t="s">
        <v>200</v>
      </c>
      <c r="F351" s="13" t="s">
        <v>201</v>
      </c>
      <c r="G351" s="13"/>
      <c r="H351" s="13"/>
      <c r="I351" s="13" t="s">
        <v>1192</v>
      </c>
      <c r="J351" s="13" t="s">
        <v>203</v>
      </c>
      <c r="K351" s="13" t="s">
        <v>1193</v>
      </c>
    </row>
    <row r="352" ht="15.75" customHeight="1">
      <c r="A352" s="13" t="s">
        <v>2065</v>
      </c>
      <c r="B352" s="13" t="s">
        <v>2066</v>
      </c>
      <c r="C352" s="13" t="s">
        <v>111</v>
      </c>
      <c r="D352" s="13" t="s">
        <v>83</v>
      </c>
      <c r="E352" s="13" t="s">
        <v>200</v>
      </c>
      <c r="F352" s="13" t="s">
        <v>201</v>
      </c>
      <c r="G352" s="13"/>
      <c r="H352" s="13"/>
      <c r="I352" s="13" t="s">
        <v>1192</v>
      </c>
      <c r="J352" s="13" t="s">
        <v>203</v>
      </c>
      <c r="K352" s="13" t="s">
        <v>1193</v>
      </c>
    </row>
    <row r="353" ht="15.75" customHeight="1">
      <c r="A353" s="13" t="s">
        <v>2065</v>
      </c>
      <c r="B353" s="13" t="s">
        <v>2066</v>
      </c>
      <c r="C353" s="13" t="s">
        <v>111</v>
      </c>
      <c r="D353" s="13" t="s">
        <v>136</v>
      </c>
      <c r="E353" s="13" t="s">
        <v>200</v>
      </c>
      <c r="F353" s="13" t="s">
        <v>201</v>
      </c>
      <c r="G353" s="13"/>
      <c r="H353" s="13"/>
      <c r="I353" s="13" t="s">
        <v>1192</v>
      </c>
      <c r="J353" s="13" t="s">
        <v>203</v>
      </c>
      <c r="K353" s="13" t="s">
        <v>1193</v>
      </c>
    </row>
    <row r="354" ht="15.75" customHeight="1">
      <c r="A354" s="13" t="s">
        <v>2067</v>
      </c>
      <c r="B354" s="13" t="s">
        <v>2068</v>
      </c>
      <c r="C354" s="13" t="s">
        <v>111</v>
      </c>
      <c r="D354" s="13" t="s">
        <v>83</v>
      </c>
      <c r="E354" s="13" t="s">
        <v>1313</v>
      </c>
      <c r="F354" s="13" t="s">
        <v>203</v>
      </c>
      <c r="G354" s="13"/>
      <c r="H354" s="13"/>
      <c r="I354" s="13" t="s">
        <v>1319</v>
      </c>
      <c r="J354" s="13" t="s">
        <v>203</v>
      </c>
      <c r="K354" s="13" t="s">
        <v>203</v>
      </c>
    </row>
    <row r="355" ht="15.75" customHeight="1">
      <c r="A355" s="13" t="s">
        <v>2067</v>
      </c>
      <c r="B355" s="13" t="s">
        <v>2068</v>
      </c>
      <c r="C355" s="13" t="s">
        <v>111</v>
      </c>
      <c r="D355" s="13" t="s">
        <v>136</v>
      </c>
      <c r="E355" s="13" t="s">
        <v>200</v>
      </c>
      <c r="F355" s="13" t="s">
        <v>201</v>
      </c>
      <c r="G355" s="13"/>
      <c r="H355" s="13"/>
      <c r="I355" s="13" t="s">
        <v>1329</v>
      </c>
      <c r="J355" s="13" t="s">
        <v>203</v>
      </c>
      <c r="K355" s="13" t="s">
        <v>1332</v>
      </c>
    </row>
    <row r="356" ht="15.75" customHeight="1">
      <c r="A356" s="8"/>
      <c r="B356" s="8"/>
      <c r="C356" s="8"/>
      <c r="D356" s="8"/>
      <c r="E356" s="8"/>
      <c r="F356" s="8"/>
      <c r="G356" s="8"/>
      <c r="H356" s="8"/>
      <c r="I356" s="8"/>
      <c r="J356" s="8"/>
      <c r="K356" s="8"/>
    </row>
    <row r="357" ht="15.75" customHeight="1">
      <c r="A357" s="7" t="s">
        <v>2069</v>
      </c>
      <c r="B357" s="8"/>
      <c r="C357" s="8"/>
      <c r="D357" s="8"/>
      <c r="E357" s="8"/>
      <c r="F357" s="8"/>
      <c r="G357" s="8"/>
      <c r="H357" s="8"/>
      <c r="I357" s="8"/>
      <c r="J357" s="8"/>
      <c r="K357" s="8"/>
    </row>
    <row r="358" ht="31.5" customHeight="1">
      <c r="A358" s="5" t="s">
        <v>2070</v>
      </c>
      <c r="B358" s="5" t="s">
        <v>2071</v>
      </c>
      <c r="C358" s="5" t="s">
        <v>2072</v>
      </c>
      <c r="D358" s="5" t="s">
        <v>2073</v>
      </c>
      <c r="E358" s="5" t="s">
        <v>2074</v>
      </c>
      <c r="F358" s="5" t="s">
        <v>2075</v>
      </c>
      <c r="G358" s="5" t="s">
        <v>63</v>
      </c>
      <c r="H358" s="5" t="s">
        <v>2076</v>
      </c>
      <c r="I358" s="11" t="s">
        <v>69</v>
      </c>
      <c r="J358" s="8"/>
      <c r="K358" s="8"/>
    </row>
    <row r="359" ht="15.75" customHeight="1">
      <c r="A359" s="13" t="s">
        <v>2077</v>
      </c>
      <c r="B359" s="13" t="s">
        <v>2078</v>
      </c>
      <c r="C359" s="13" t="s">
        <v>2079</v>
      </c>
      <c r="D359" s="13" t="s">
        <v>2080</v>
      </c>
      <c r="E359" s="13" t="s">
        <v>2081</v>
      </c>
      <c r="F359" s="13" t="s">
        <v>2082</v>
      </c>
      <c r="G359" s="13" t="s">
        <v>2083</v>
      </c>
      <c r="H359" s="13" t="s">
        <v>2084</v>
      </c>
      <c r="I359" s="11" t="s">
        <v>125</v>
      </c>
      <c r="J359" s="8"/>
      <c r="K359" s="8"/>
    </row>
    <row r="360" ht="15.75" customHeight="1">
      <c r="A360" s="13" t="s">
        <v>2085</v>
      </c>
      <c r="B360" s="13" t="s">
        <v>2086</v>
      </c>
      <c r="C360" s="13" t="s">
        <v>2087</v>
      </c>
      <c r="D360" s="13" t="s">
        <v>2088</v>
      </c>
      <c r="E360" s="13" t="s">
        <v>2089</v>
      </c>
      <c r="F360" s="13" t="s">
        <v>2090</v>
      </c>
      <c r="G360" s="13" t="s">
        <v>2091</v>
      </c>
      <c r="H360" s="13" t="s">
        <v>2092</v>
      </c>
      <c r="I360" s="11" t="s">
        <v>125</v>
      </c>
      <c r="J360" s="8"/>
      <c r="K360" s="8"/>
    </row>
    <row r="361" ht="15.75" customHeight="1">
      <c r="A361" s="13" t="s">
        <v>2093</v>
      </c>
      <c r="B361" s="13" t="s">
        <v>2094</v>
      </c>
      <c r="C361" s="13" t="s">
        <v>2095</v>
      </c>
      <c r="D361" s="13" t="s">
        <v>2096</v>
      </c>
      <c r="E361" s="13" t="s">
        <v>2097</v>
      </c>
      <c r="F361" s="13" t="s">
        <v>2098</v>
      </c>
      <c r="G361" s="13" t="s">
        <v>2099</v>
      </c>
      <c r="H361" s="13" t="s">
        <v>2100</v>
      </c>
      <c r="I361" s="11" t="s">
        <v>125</v>
      </c>
      <c r="J361" s="8"/>
      <c r="K361" s="8"/>
    </row>
    <row r="362" ht="15.75" customHeight="1">
      <c r="A362" s="13" t="s">
        <v>2101</v>
      </c>
      <c r="B362" s="13" t="s">
        <v>2102</v>
      </c>
      <c r="C362" s="13" t="s">
        <v>2103</v>
      </c>
      <c r="D362" s="13" t="s">
        <v>2104</v>
      </c>
      <c r="E362" s="13" t="s">
        <v>2105</v>
      </c>
      <c r="F362" s="13" t="s">
        <v>2106</v>
      </c>
      <c r="G362" s="13" t="s">
        <v>2107</v>
      </c>
      <c r="H362" s="13" t="s">
        <v>2108</v>
      </c>
      <c r="I362" s="11" t="s">
        <v>125</v>
      </c>
      <c r="J362" s="8"/>
      <c r="K362" s="8"/>
    </row>
    <row r="363" ht="15.75" customHeight="1">
      <c r="A363" s="13" t="s">
        <v>2109</v>
      </c>
      <c r="B363" s="13" t="s">
        <v>2110</v>
      </c>
      <c r="C363" s="13" t="s">
        <v>2111</v>
      </c>
      <c r="D363" s="13" t="s">
        <v>2112</v>
      </c>
      <c r="E363" s="13" t="s">
        <v>2113</v>
      </c>
      <c r="F363" s="13" t="s">
        <v>2114</v>
      </c>
      <c r="G363" s="13" t="s">
        <v>2115</v>
      </c>
      <c r="H363" s="13" t="s">
        <v>2116</v>
      </c>
      <c r="I363" s="11" t="s">
        <v>125</v>
      </c>
      <c r="J363" s="8"/>
      <c r="K363" s="8"/>
    </row>
    <row r="364" ht="15.75" customHeight="1">
      <c r="A364" s="13" t="s">
        <v>2117</v>
      </c>
      <c r="B364" s="13" t="s">
        <v>2118</v>
      </c>
      <c r="C364" s="13" t="s">
        <v>2119</v>
      </c>
      <c r="D364" s="13" t="s">
        <v>2120</v>
      </c>
      <c r="E364" s="13" t="s">
        <v>2121</v>
      </c>
      <c r="F364" s="13" t="s">
        <v>2122</v>
      </c>
      <c r="G364" s="13" t="s">
        <v>2123</v>
      </c>
      <c r="H364" s="13" t="s">
        <v>215</v>
      </c>
      <c r="I364" s="11" t="s">
        <v>125</v>
      </c>
      <c r="J364" s="8"/>
      <c r="K364" s="8"/>
    </row>
    <row r="365" ht="15.75" customHeight="1">
      <c r="A365" s="13" t="s">
        <v>2124</v>
      </c>
      <c r="B365" s="13" t="s">
        <v>2125</v>
      </c>
      <c r="C365" s="13" t="s">
        <v>2126</v>
      </c>
      <c r="D365" s="13" t="s">
        <v>2127</v>
      </c>
      <c r="E365" s="13" t="s">
        <v>2128</v>
      </c>
      <c r="F365" s="13" t="s">
        <v>2129</v>
      </c>
      <c r="G365" s="13" t="s">
        <v>2130</v>
      </c>
      <c r="H365" s="13" t="s">
        <v>2131</v>
      </c>
      <c r="I365" s="11" t="s">
        <v>125</v>
      </c>
      <c r="J365" s="8"/>
      <c r="K365" s="8"/>
    </row>
    <row r="366" ht="15.75" customHeight="1">
      <c r="A366" s="13" t="s">
        <v>2132</v>
      </c>
      <c r="B366" s="13" t="s">
        <v>2133</v>
      </c>
      <c r="C366" s="13" t="s">
        <v>2134</v>
      </c>
      <c r="D366" s="13" t="s">
        <v>2135</v>
      </c>
      <c r="E366" s="13" t="s">
        <v>2136</v>
      </c>
      <c r="F366" s="13" t="s">
        <v>2137</v>
      </c>
      <c r="G366" s="13" t="s">
        <v>2138</v>
      </c>
      <c r="H366" s="13" t="s">
        <v>2139</v>
      </c>
      <c r="I366" s="11" t="s">
        <v>125</v>
      </c>
      <c r="J366" s="8"/>
      <c r="K366" s="8"/>
    </row>
    <row r="367" ht="15.75" customHeight="1">
      <c r="A367" s="13" t="s">
        <v>2140</v>
      </c>
      <c r="B367" s="13" t="s">
        <v>2141</v>
      </c>
      <c r="C367" s="13" t="s">
        <v>2142</v>
      </c>
      <c r="D367" s="13" t="s">
        <v>2143</v>
      </c>
      <c r="E367" s="13" t="s">
        <v>2144</v>
      </c>
      <c r="F367" s="13" t="s">
        <v>2145</v>
      </c>
      <c r="G367" s="13" t="s">
        <v>2146</v>
      </c>
      <c r="H367" s="13" t="s">
        <v>2147</v>
      </c>
      <c r="I367" s="11" t="s">
        <v>131</v>
      </c>
      <c r="J367" s="8"/>
      <c r="K367" s="8"/>
    </row>
    <row r="368" ht="15.75" customHeight="1">
      <c r="A368" s="13" t="s">
        <v>2148</v>
      </c>
      <c r="B368" s="13" t="s">
        <v>2149</v>
      </c>
      <c r="C368" s="13" t="s">
        <v>2150</v>
      </c>
      <c r="D368" s="13" t="s">
        <v>2151</v>
      </c>
      <c r="E368" s="13" t="s">
        <v>1072</v>
      </c>
      <c r="F368" s="13" t="s">
        <v>2152</v>
      </c>
      <c r="G368" s="13" t="s">
        <v>2153</v>
      </c>
      <c r="H368" s="13" t="s">
        <v>2154</v>
      </c>
      <c r="I368" s="11" t="s">
        <v>125</v>
      </c>
      <c r="J368" s="8"/>
      <c r="K368" s="8"/>
    </row>
    <row r="369" ht="15.75" customHeight="1">
      <c r="A369" s="13" t="s">
        <v>2155</v>
      </c>
      <c r="B369" s="13" t="s">
        <v>2156</v>
      </c>
      <c r="C369" s="13" t="s">
        <v>2157</v>
      </c>
      <c r="D369" s="13" t="s">
        <v>2158</v>
      </c>
      <c r="E369" s="13" t="s">
        <v>2159</v>
      </c>
      <c r="F369" s="13" t="s">
        <v>2160</v>
      </c>
      <c r="G369" s="13" t="s">
        <v>215</v>
      </c>
      <c r="H369" s="13" t="s">
        <v>215</v>
      </c>
      <c r="I369" s="11" t="s">
        <v>125</v>
      </c>
      <c r="J369" s="8"/>
      <c r="K369" s="8"/>
    </row>
    <row r="370" ht="15.75" customHeight="1">
      <c r="A370" s="8"/>
      <c r="B370" s="8"/>
      <c r="C370" s="8"/>
      <c r="D370" s="8"/>
      <c r="E370" s="8"/>
      <c r="F370" s="8"/>
      <c r="G370" s="8"/>
      <c r="H370" s="8"/>
      <c r="I370" s="8"/>
      <c r="J370" s="8"/>
      <c r="K370" s="8"/>
    </row>
    <row r="371" ht="15.75" customHeight="1">
      <c r="A371" s="8"/>
      <c r="B371" s="8"/>
      <c r="C371" s="8"/>
      <c r="D371" s="8"/>
      <c r="E371" s="8"/>
      <c r="F371" s="8"/>
      <c r="G371" s="8"/>
      <c r="H371" s="8"/>
      <c r="I371" s="8"/>
      <c r="J371" s="8"/>
      <c r="K371" s="8"/>
    </row>
    <row r="372" ht="15.75" customHeight="1">
      <c r="A372" s="8"/>
      <c r="B372" s="8"/>
      <c r="C372" s="8"/>
      <c r="D372" s="8"/>
      <c r="E372" s="8"/>
      <c r="F372" s="8"/>
      <c r="G372" s="8"/>
      <c r="H372" s="8"/>
      <c r="I372" s="8"/>
      <c r="J372" s="8"/>
      <c r="K372" s="8"/>
    </row>
    <row r="373" ht="15.75" customHeight="1">
      <c r="A373" s="8"/>
      <c r="B373" s="8"/>
      <c r="C373" s="8"/>
      <c r="D373" s="8"/>
      <c r="E373" s="8"/>
      <c r="F373" s="8"/>
      <c r="G373" s="8"/>
      <c r="H373" s="8"/>
      <c r="I373" s="8"/>
      <c r="J373" s="8"/>
      <c r="K373" s="8"/>
    </row>
    <row r="374" ht="15.75" customHeight="1">
      <c r="A374" s="8"/>
      <c r="B374" s="8"/>
      <c r="C374" s="8"/>
      <c r="D374" s="8"/>
      <c r="E374" s="8"/>
      <c r="F374" s="8"/>
      <c r="G374" s="8"/>
      <c r="H374" s="8"/>
      <c r="I374" s="8"/>
      <c r="J374" s="8"/>
      <c r="K374" s="8"/>
    </row>
    <row r="375" ht="15.75" customHeight="1">
      <c r="A375" s="8"/>
      <c r="B375" s="8"/>
      <c r="C375" s="8"/>
      <c r="D375" s="8"/>
      <c r="E375" s="8"/>
      <c r="F375" s="8"/>
      <c r="G375" s="8"/>
      <c r="H375" s="8"/>
      <c r="I375" s="8"/>
      <c r="J375" s="8"/>
      <c r="K375" s="8"/>
    </row>
    <row r="376" ht="15.75" customHeight="1">
      <c r="A376" s="8"/>
      <c r="B376" s="8"/>
      <c r="C376" s="8"/>
      <c r="D376" s="8"/>
      <c r="E376" s="8"/>
      <c r="F376" s="8"/>
      <c r="G376" s="8"/>
      <c r="H376" s="8"/>
      <c r="I376" s="8"/>
      <c r="J376" s="8"/>
      <c r="K376" s="8"/>
    </row>
    <row r="377" ht="15.75" customHeight="1">
      <c r="A377" s="8"/>
      <c r="B377" s="8"/>
      <c r="C377" s="8"/>
      <c r="D377" s="8"/>
      <c r="E377" s="8"/>
      <c r="F377" s="8"/>
      <c r="G377" s="8"/>
      <c r="H377" s="8"/>
      <c r="I377" s="8"/>
      <c r="J377" s="8"/>
      <c r="K377" s="8"/>
    </row>
    <row r="378" ht="15.75" customHeight="1">
      <c r="A378" s="8"/>
      <c r="B378" s="8"/>
      <c r="C378" s="8"/>
      <c r="D378" s="8"/>
      <c r="E378" s="8"/>
      <c r="F378" s="8"/>
      <c r="G378" s="8"/>
      <c r="H378" s="8"/>
      <c r="I378" s="8"/>
      <c r="J378" s="8"/>
      <c r="K378" s="8"/>
    </row>
    <row r="379" ht="15.75" customHeight="1">
      <c r="A379" s="8"/>
      <c r="B379" s="8"/>
      <c r="C379" s="8"/>
      <c r="D379" s="8"/>
      <c r="E379" s="8"/>
      <c r="F379" s="8"/>
      <c r="G379" s="8"/>
      <c r="H379" s="8"/>
      <c r="I379" s="8"/>
      <c r="J379" s="8"/>
      <c r="K379" s="8"/>
    </row>
    <row r="380" ht="15.75" customHeight="1">
      <c r="A380" s="8"/>
      <c r="B380" s="8"/>
      <c r="C380" s="8"/>
      <c r="D380" s="8"/>
      <c r="E380" s="8"/>
      <c r="F380" s="8"/>
      <c r="G380" s="8"/>
      <c r="H380" s="8"/>
      <c r="I380" s="8"/>
      <c r="J380" s="8"/>
      <c r="K380" s="8"/>
    </row>
    <row r="381" ht="15.75" customHeight="1">
      <c r="A381" s="8"/>
      <c r="B381" s="8"/>
      <c r="C381" s="8"/>
      <c r="D381" s="8"/>
      <c r="E381" s="8"/>
      <c r="F381" s="8"/>
      <c r="G381" s="8"/>
      <c r="H381" s="8"/>
      <c r="I381" s="8"/>
      <c r="J381" s="8"/>
      <c r="K381" s="8"/>
    </row>
    <row r="382" ht="15.75" customHeight="1">
      <c r="A382" s="8"/>
      <c r="B382" s="8"/>
      <c r="C382" s="8"/>
      <c r="D382" s="8"/>
      <c r="E382" s="8"/>
      <c r="F382" s="8"/>
      <c r="G382" s="8"/>
      <c r="H382" s="8"/>
      <c r="I382" s="8"/>
      <c r="J382" s="8"/>
      <c r="K382" s="8"/>
    </row>
    <row r="383" ht="15.75" customHeight="1">
      <c r="A383" s="8"/>
      <c r="B383" s="8"/>
      <c r="C383" s="8"/>
      <c r="D383" s="8"/>
      <c r="E383" s="8"/>
      <c r="F383" s="8"/>
      <c r="G383" s="8"/>
      <c r="H383" s="8"/>
      <c r="I383" s="8"/>
      <c r="J383" s="8"/>
      <c r="K383" s="8"/>
    </row>
    <row r="384" ht="15.75" customHeight="1">
      <c r="A384" s="8"/>
      <c r="B384" s="8"/>
      <c r="C384" s="8"/>
      <c r="D384" s="8"/>
      <c r="E384" s="8"/>
      <c r="F384" s="8"/>
      <c r="G384" s="8"/>
      <c r="H384" s="8"/>
      <c r="I384" s="8"/>
      <c r="J384" s="8"/>
      <c r="K384" s="8"/>
    </row>
    <row r="385" ht="15.75" customHeight="1">
      <c r="A385" s="8"/>
      <c r="B385" s="8"/>
      <c r="C385" s="8"/>
      <c r="D385" s="8"/>
      <c r="E385" s="8"/>
      <c r="F385" s="8"/>
      <c r="G385" s="8"/>
      <c r="H385" s="8"/>
      <c r="I385" s="8"/>
      <c r="J385" s="8"/>
      <c r="K385" s="8"/>
    </row>
    <row r="386" ht="15.75" customHeight="1">
      <c r="A386" s="8"/>
      <c r="B386" s="8"/>
      <c r="C386" s="8"/>
      <c r="D386" s="8"/>
      <c r="E386" s="8"/>
      <c r="F386" s="8"/>
      <c r="G386" s="8"/>
      <c r="H386" s="8"/>
      <c r="I386" s="8"/>
      <c r="J386" s="8"/>
      <c r="K386" s="8"/>
    </row>
    <row r="387" ht="15.75" customHeight="1">
      <c r="A387" s="8"/>
      <c r="B387" s="8"/>
      <c r="C387" s="8"/>
      <c r="D387" s="8"/>
      <c r="E387" s="8"/>
      <c r="F387" s="8"/>
      <c r="G387" s="8"/>
      <c r="H387" s="8"/>
      <c r="I387" s="8"/>
      <c r="J387" s="8"/>
      <c r="K387" s="8"/>
    </row>
    <row r="388" ht="15.75" customHeight="1">
      <c r="A388" s="8"/>
      <c r="B388" s="8"/>
      <c r="C388" s="8"/>
      <c r="D388" s="8"/>
      <c r="E388" s="8"/>
      <c r="F388" s="8"/>
      <c r="G388" s="8"/>
      <c r="H388" s="8"/>
      <c r="I388" s="8"/>
      <c r="J388" s="8"/>
      <c r="K388" s="8"/>
    </row>
    <row r="389" ht="15.75" customHeight="1">
      <c r="A389" s="8"/>
      <c r="B389" s="8"/>
      <c r="C389" s="8"/>
      <c r="D389" s="8"/>
      <c r="E389" s="8"/>
      <c r="F389" s="8"/>
      <c r="G389" s="8"/>
      <c r="H389" s="8"/>
      <c r="I389" s="8"/>
      <c r="J389" s="8"/>
      <c r="K389" s="8"/>
    </row>
    <row r="390" ht="15.75" customHeight="1">
      <c r="A390" s="8"/>
      <c r="B390" s="8"/>
      <c r="C390" s="8"/>
      <c r="D390" s="8"/>
      <c r="E390" s="8"/>
      <c r="F390" s="8"/>
      <c r="G390" s="8"/>
      <c r="H390" s="8"/>
      <c r="I390" s="8"/>
      <c r="J390" s="8"/>
      <c r="K390" s="8"/>
    </row>
    <row r="391" ht="15.75" customHeight="1">
      <c r="A391" s="8"/>
      <c r="B391" s="8"/>
      <c r="C391" s="8"/>
      <c r="D391" s="8"/>
      <c r="E391" s="8"/>
      <c r="F391" s="8"/>
      <c r="G391" s="8"/>
      <c r="H391" s="8"/>
      <c r="I391" s="8"/>
      <c r="J391" s="8"/>
      <c r="K391" s="8"/>
    </row>
    <row r="392" ht="15.75" customHeight="1">
      <c r="A392" s="8"/>
      <c r="B392" s="8"/>
      <c r="C392" s="8"/>
      <c r="D392" s="8"/>
      <c r="E392" s="8"/>
      <c r="F392" s="8"/>
      <c r="G392" s="8"/>
      <c r="H392" s="8"/>
      <c r="I392" s="8"/>
      <c r="J392" s="8"/>
      <c r="K392" s="8"/>
    </row>
    <row r="393" ht="15.75" customHeight="1">
      <c r="A393" s="8"/>
      <c r="B393" s="8"/>
      <c r="C393" s="8"/>
      <c r="D393" s="8"/>
      <c r="E393" s="8"/>
      <c r="F393" s="8"/>
      <c r="G393" s="8"/>
      <c r="H393" s="8"/>
      <c r="I393" s="8"/>
      <c r="J393" s="8"/>
      <c r="K393" s="8"/>
    </row>
    <row r="394" ht="15.75" customHeight="1">
      <c r="A394" s="8"/>
      <c r="B394" s="8"/>
      <c r="C394" s="8"/>
      <c r="D394" s="8"/>
      <c r="E394" s="8"/>
      <c r="F394" s="8"/>
      <c r="G394" s="8"/>
      <c r="H394" s="8"/>
      <c r="I394" s="8"/>
      <c r="J394" s="8"/>
      <c r="K394" s="8"/>
    </row>
    <row r="395" ht="15.75" customHeight="1">
      <c r="A395" s="8"/>
      <c r="B395" s="8"/>
      <c r="C395" s="8"/>
      <c r="D395" s="8"/>
      <c r="E395" s="8"/>
      <c r="F395" s="8"/>
      <c r="G395" s="8"/>
      <c r="H395" s="8"/>
      <c r="I395" s="8"/>
      <c r="J395" s="8"/>
      <c r="K395" s="8"/>
    </row>
    <row r="396" ht="15.75" customHeight="1">
      <c r="A396" s="8"/>
      <c r="B396" s="8"/>
      <c r="C396" s="8"/>
      <c r="D396" s="8"/>
      <c r="E396" s="8"/>
      <c r="F396" s="8"/>
      <c r="G396" s="8"/>
      <c r="H396" s="8"/>
      <c r="I396" s="8"/>
      <c r="J396" s="8"/>
      <c r="K396" s="8"/>
    </row>
    <row r="397" ht="15.75" customHeight="1">
      <c r="A397" s="8"/>
      <c r="B397" s="8"/>
      <c r="C397" s="8"/>
      <c r="D397" s="8"/>
      <c r="E397" s="8"/>
      <c r="F397" s="8"/>
      <c r="G397" s="8"/>
      <c r="H397" s="8"/>
      <c r="I397" s="8"/>
      <c r="J397" s="8"/>
      <c r="K397" s="8"/>
    </row>
    <row r="398" ht="15.75" customHeight="1">
      <c r="A398" s="8"/>
      <c r="B398" s="8"/>
      <c r="C398" s="8"/>
      <c r="D398" s="8"/>
      <c r="E398" s="8"/>
      <c r="F398" s="8"/>
      <c r="G398" s="8"/>
      <c r="H398" s="8"/>
      <c r="I398" s="8"/>
      <c r="J398" s="8"/>
      <c r="K398" s="8"/>
    </row>
    <row r="399" ht="15.75" customHeight="1">
      <c r="A399" s="8"/>
      <c r="B399" s="8"/>
      <c r="C399" s="8"/>
      <c r="D399" s="8"/>
      <c r="E399" s="8"/>
      <c r="F399" s="8"/>
      <c r="G399" s="8"/>
      <c r="H399" s="8"/>
      <c r="I399" s="8"/>
      <c r="J399" s="8"/>
      <c r="K399" s="8"/>
    </row>
    <row r="400" ht="15.75" customHeight="1">
      <c r="A400" s="8"/>
      <c r="B400" s="8"/>
      <c r="C400" s="8"/>
      <c r="D400" s="8"/>
      <c r="E400" s="8"/>
      <c r="F400" s="8"/>
      <c r="G400" s="8"/>
      <c r="H400" s="8"/>
      <c r="I400" s="8"/>
      <c r="J400" s="8"/>
      <c r="K400" s="8"/>
    </row>
    <row r="401" ht="15.75" customHeight="1">
      <c r="A401" s="8"/>
      <c r="B401" s="8"/>
      <c r="C401" s="8"/>
      <c r="D401" s="8"/>
      <c r="E401" s="8"/>
      <c r="F401" s="8"/>
      <c r="G401" s="8"/>
      <c r="H401" s="8"/>
      <c r="I401" s="8"/>
      <c r="J401" s="8"/>
      <c r="K401" s="8"/>
    </row>
    <row r="402" ht="15.75" customHeight="1">
      <c r="A402" s="8"/>
      <c r="B402" s="8"/>
      <c r="C402" s="8"/>
      <c r="D402" s="8"/>
      <c r="E402" s="8"/>
      <c r="F402" s="8"/>
      <c r="G402" s="8"/>
      <c r="H402" s="8"/>
      <c r="I402" s="8"/>
      <c r="J402" s="8"/>
      <c r="K402" s="8"/>
    </row>
    <row r="403" ht="15.75" customHeight="1">
      <c r="A403" s="8"/>
      <c r="B403" s="8"/>
      <c r="C403" s="8"/>
      <c r="D403" s="8"/>
      <c r="E403" s="8"/>
      <c r="F403" s="8"/>
      <c r="G403" s="8"/>
      <c r="H403" s="8"/>
      <c r="I403" s="8"/>
      <c r="J403" s="8"/>
      <c r="K403" s="8"/>
    </row>
    <row r="404" ht="15.75" customHeight="1">
      <c r="A404" s="8"/>
      <c r="B404" s="8"/>
      <c r="C404" s="8"/>
      <c r="D404" s="8"/>
      <c r="E404" s="8"/>
      <c r="F404" s="8"/>
      <c r="G404" s="8"/>
      <c r="H404" s="8"/>
      <c r="I404" s="8"/>
      <c r="J404" s="8"/>
      <c r="K404" s="8"/>
    </row>
    <row r="405" ht="15.75" customHeight="1">
      <c r="A405" s="8"/>
      <c r="B405" s="8"/>
      <c r="C405" s="8"/>
      <c r="D405" s="8"/>
      <c r="E405" s="8"/>
      <c r="F405" s="8"/>
      <c r="G405" s="8"/>
      <c r="H405" s="8"/>
      <c r="I405" s="8"/>
      <c r="J405" s="8"/>
      <c r="K405" s="8"/>
    </row>
    <row r="406" ht="15.75" customHeight="1">
      <c r="A406" s="8"/>
      <c r="B406" s="8"/>
      <c r="C406" s="8"/>
      <c r="D406" s="8"/>
      <c r="E406" s="8"/>
      <c r="F406" s="8"/>
      <c r="G406" s="8"/>
      <c r="H406" s="8"/>
      <c r="I406" s="8"/>
      <c r="J406" s="8"/>
      <c r="K406" s="8"/>
    </row>
    <row r="407" ht="15.75" customHeight="1">
      <c r="A407" s="8"/>
      <c r="B407" s="8"/>
      <c r="C407" s="8"/>
      <c r="D407" s="8"/>
      <c r="E407" s="8"/>
      <c r="F407" s="8"/>
      <c r="G407" s="8"/>
      <c r="H407" s="8"/>
      <c r="I407" s="8"/>
      <c r="J407" s="8"/>
      <c r="K407" s="8"/>
    </row>
    <row r="408" ht="15.75" customHeight="1">
      <c r="A408" s="8"/>
      <c r="B408" s="8"/>
      <c r="C408" s="8"/>
      <c r="D408" s="8"/>
      <c r="E408" s="8"/>
      <c r="F408" s="8"/>
      <c r="G408" s="8"/>
      <c r="H408" s="8"/>
      <c r="I408" s="8"/>
      <c r="J408" s="8"/>
      <c r="K408" s="8"/>
    </row>
    <row r="409" ht="15.75" customHeight="1">
      <c r="A409" s="8"/>
      <c r="B409" s="8"/>
      <c r="C409" s="8"/>
      <c r="D409" s="8"/>
      <c r="E409" s="8"/>
      <c r="F409" s="8"/>
      <c r="G409" s="8"/>
      <c r="H409" s="8"/>
      <c r="I409" s="8"/>
      <c r="J409" s="8"/>
      <c r="K409" s="8"/>
    </row>
    <row r="410" ht="15.75" customHeight="1">
      <c r="A410" s="8"/>
      <c r="B410" s="8"/>
      <c r="C410" s="8"/>
      <c r="D410" s="8"/>
      <c r="E410" s="8"/>
      <c r="F410" s="8"/>
      <c r="G410" s="8"/>
      <c r="H410" s="8"/>
      <c r="I410" s="8"/>
      <c r="J410" s="8"/>
      <c r="K410" s="8"/>
    </row>
    <row r="411" ht="15.75" customHeight="1">
      <c r="A411" s="8"/>
      <c r="B411" s="8"/>
      <c r="C411" s="8"/>
      <c r="D411" s="8"/>
      <c r="E411" s="8"/>
      <c r="F411" s="8"/>
      <c r="G411" s="8"/>
      <c r="H411" s="8"/>
      <c r="I411" s="8"/>
      <c r="J411" s="8"/>
      <c r="K411" s="8"/>
    </row>
    <row r="412" ht="15.75" customHeight="1">
      <c r="A412" s="8"/>
      <c r="B412" s="8"/>
      <c r="C412" s="8"/>
      <c r="D412" s="8"/>
      <c r="E412" s="8"/>
      <c r="F412" s="8"/>
      <c r="G412" s="8"/>
      <c r="H412" s="8"/>
      <c r="I412" s="8"/>
      <c r="J412" s="8"/>
      <c r="K412" s="8"/>
    </row>
    <row r="413" ht="15.75" customHeight="1">
      <c r="A413" s="8"/>
      <c r="B413" s="8"/>
      <c r="C413" s="8"/>
      <c r="D413" s="8"/>
      <c r="E413" s="8"/>
      <c r="F413" s="8"/>
      <c r="G413" s="8"/>
      <c r="H413" s="8"/>
      <c r="I413" s="8"/>
      <c r="J413" s="8"/>
      <c r="K413" s="8"/>
    </row>
    <row r="414" ht="15.75" customHeight="1">
      <c r="A414" s="8"/>
      <c r="B414" s="8"/>
      <c r="C414" s="8"/>
      <c r="D414" s="8"/>
      <c r="E414" s="8"/>
      <c r="F414" s="8"/>
      <c r="G414" s="8"/>
      <c r="H414" s="8"/>
      <c r="I414" s="8"/>
      <c r="J414" s="8"/>
      <c r="K414" s="8"/>
    </row>
    <row r="415" ht="15.75" customHeight="1">
      <c r="A415" s="8"/>
      <c r="B415" s="8"/>
      <c r="C415" s="8"/>
      <c r="D415" s="8"/>
      <c r="E415" s="8"/>
      <c r="F415" s="8"/>
      <c r="G415" s="8"/>
      <c r="H415" s="8"/>
      <c r="I415" s="8"/>
      <c r="J415" s="8"/>
      <c r="K415" s="8"/>
    </row>
    <row r="416" ht="15.75" customHeight="1">
      <c r="A416" s="8"/>
      <c r="B416" s="8"/>
      <c r="C416" s="8"/>
      <c r="D416" s="8"/>
      <c r="E416" s="8"/>
      <c r="F416" s="8"/>
      <c r="G416" s="8"/>
      <c r="H416" s="8"/>
      <c r="I416" s="8"/>
      <c r="J416" s="8"/>
      <c r="K416" s="8"/>
    </row>
    <row r="417" ht="15.75" customHeight="1">
      <c r="A417" s="8"/>
      <c r="B417" s="8"/>
      <c r="C417" s="8"/>
      <c r="D417" s="8"/>
      <c r="E417" s="8"/>
      <c r="F417" s="8"/>
      <c r="G417" s="8"/>
      <c r="H417" s="8"/>
      <c r="I417" s="8"/>
      <c r="J417" s="8"/>
      <c r="K417" s="8"/>
    </row>
    <row r="418" ht="15.75" customHeight="1">
      <c r="A418" s="8"/>
      <c r="B418" s="8"/>
      <c r="C418" s="8"/>
      <c r="D418" s="8"/>
      <c r="E418" s="8"/>
      <c r="F418" s="8"/>
      <c r="G418" s="8"/>
      <c r="H418" s="8"/>
      <c r="I418" s="8"/>
      <c r="J418" s="8"/>
      <c r="K418" s="8"/>
    </row>
    <row r="419" ht="15.75" customHeight="1">
      <c r="A419" s="8"/>
      <c r="B419" s="8"/>
      <c r="C419" s="8"/>
      <c r="D419" s="8"/>
      <c r="E419" s="8"/>
      <c r="F419" s="8"/>
      <c r="G419" s="8"/>
      <c r="H419" s="8"/>
      <c r="I419" s="8"/>
      <c r="J419" s="8"/>
      <c r="K419" s="8"/>
    </row>
    <row r="420" ht="15.75" customHeight="1">
      <c r="A420" s="8"/>
      <c r="B420" s="8"/>
      <c r="C420" s="8"/>
      <c r="D420" s="8"/>
      <c r="E420" s="8"/>
      <c r="F420" s="8"/>
      <c r="G420" s="8"/>
      <c r="H420" s="8"/>
      <c r="I420" s="8"/>
      <c r="J420" s="8"/>
      <c r="K420" s="8"/>
    </row>
    <row r="421" ht="15.75" customHeight="1">
      <c r="A421" s="8"/>
      <c r="B421" s="8"/>
      <c r="C421" s="8"/>
      <c r="D421" s="8"/>
      <c r="E421" s="8"/>
      <c r="F421" s="8"/>
      <c r="G421" s="8"/>
      <c r="H421" s="8"/>
      <c r="I421" s="8"/>
      <c r="J421" s="8"/>
      <c r="K421" s="8"/>
    </row>
    <row r="422" ht="15.75" customHeight="1">
      <c r="A422" s="8"/>
      <c r="B422" s="8"/>
      <c r="C422" s="8"/>
      <c r="D422" s="8"/>
      <c r="E422" s="8"/>
      <c r="F422" s="8"/>
      <c r="G422" s="8"/>
      <c r="H422" s="8"/>
      <c r="I422" s="8"/>
      <c r="J422" s="8"/>
      <c r="K422" s="8"/>
    </row>
    <row r="423" ht="15.75" customHeight="1">
      <c r="A423" s="8"/>
      <c r="B423" s="8"/>
      <c r="C423" s="8"/>
      <c r="D423" s="8"/>
      <c r="E423" s="8"/>
      <c r="F423" s="8"/>
      <c r="G423" s="8"/>
      <c r="H423" s="8"/>
      <c r="I423" s="8"/>
      <c r="J423" s="8"/>
      <c r="K423" s="8"/>
    </row>
    <row r="424" ht="15.75" customHeight="1">
      <c r="A424" s="8"/>
      <c r="B424" s="8"/>
      <c r="C424" s="8"/>
      <c r="D424" s="8"/>
      <c r="E424" s="8"/>
      <c r="F424" s="8"/>
      <c r="G424" s="8"/>
      <c r="H424" s="8"/>
      <c r="I424" s="8"/>
      <c r="J424" s="8"/>
      <c r="K424" s="8"/>
    </row>
    <row r="425" ht="15.75" customHeight="1">
      <c r="A425" s="8"/>
      <c r="B425" s="8"/>
      <c r="C425" s="8"/>
      <c r="D425" s="8"/>
      <c r="E425" s="8"/>
      <c r="F425" s="8"/>
      <c r="G425" s="8"/>
      <c r="H425" s="8"/>
      <c r="I425" s="8"/>
      <c r="J425" s="8"/>
      <c r="K425" s="8"/>
    </row>
    <row r="426" ht="15.75" customHeight="1">
      <c r="A426" s="8"/>
      <c r="B426" s="8"/>
      <c r="C426" s="8"/>
      <c r="D426" s="8"/>
      <c r="E426" s="8"/>
      <c r="F426" s="8"/>
      <c r="G426" s="8"/>
      <c r="H426" s="8"/>
      <c r="I426" s="8"/>
      <c r="J426" s="8"/>
      <c r="K426" s="8"/>
    </row>
    <row r="427" ht="15.75" customHeight="1">
      <c r="A427" s="8"/>
      <c r="B427" s="8"/>
      <c r="C427" s="8"/>
      <c r="D427" s="8"/>
      <c r="E427" s="8"/>
      <c r="F427" s="8"/>
      <c r="G427" s="8"/>
      <c r="H427" s="8"/>
      <c r="I427" s="8"/>
      <c r="J427" s="8"/>
      <c r="K427" s="8"/>
    </row>
    <row r="428" ht="15.75" customHeight="1">
      <c r="A428" s="8"/>
      <c r="B428" s="8"/>
      <c r="C428" s="8"/>
      <c r="D428" s="8"/>
      <c r="E428" s="8"/>
      <c r="F428" s="8"/>
      <c r="G428" s="8"/>
      <c r="H428" s="8"/>
      <c r="I428" s="8"/>
      <c r="J428" s="8"/>
      <c r="K428" s="8"/>
    </row>
    <row r="429" ht="15.75" customHeight="1">
      <c r="A429" s="8"/>
      <c r="B429" s="8"/>
      <c r="C429" s="8"/>
      <c r="D429" s="8"/>
      <c r="E429" s="8"/>
      <c r="F429" s="8"/>
      <c r="G429" s="8"/>
      <c r="H429" s="8"/>
      <c r="I429" s="8"/>
      <c r="J429" s="8"/>
      <c r="K429" s="8"/>
    </row>
    <row r="430" ht="15.75" customHeight="1">
      <c r="A430" s="8"/>
      <c r="B430" s="8"/>
      <c r="C430" s="8"/>
      <c r="D430" s="8"/>
      <c r="E430" s="8"/>
      <c r="F430" s="8"/>
      <c r="G430" s="8"/>
      <c r="H430" s="8"/>
      <c r="I430" s="8"/>
      <c r="J430" s="8"/>
      <c r="K430" s="8"/>
    </row>
    <row r="431" ht="15.75" customHeight="1">
      <c r="A431" s="8"/>
      <c r="B431" s="8"/>
      <c r="C431" s="8"/>
      <c r="D431" s="8"/>
      <c r="E431" s="8"/>
      <c r="F431" s="8"/>
      <c r="G431" s="8"/>
      <c r="H431" s="8"/>
      <c r="I431" s="8"/>
      <c r="J431" s="8"/>
      <c r="K431" s="8"/>
    </row>
    <row r="432" ht="15.75" customHeight="1">
      <c r="A432" s="8"/>
      <c r="B432" s="8"/>
      <c r="C432" s="8"/>
      <c r="D432" s="8"/>
      <c r="E432" s="8"/>
      <c r="F432" s="8"/>
      <c r="G432" s="8"/>
      <c r="H432" s="8"/>
      <c r="I432" s="8"/>
      <c r="J432" s="8"/>
      <c r="K432" s="8"/>
    </row>
    <row r="433" ht="15.75" customHeight="1">
      <c r="A433" s="8"/>
      <c r="B433" s="8"/>
      <c r="C433" s="8"/>
      <c r="D433" s="8"/>
      <c r="E433" s="8"/>
      <c r="F433" s="8"/>
      <c r="G433" s="8"/>
      <c r="H433" s="8"/>
      <c r="I433" s="8"/>
      <c r="J433" s="8"/>
      <c r="K433" s="8"/>
    </row>
    <row r="434" ht="15.75" customHeight="1">
      <c r="A434" s="8"/>
      <c r="B434" s="8"/>
      <c r="C434" s="8"/>
      <c r="D434" s="8"/>
      <c r="E434" s="8"/>
      <c r="F434" s="8"/>
      <c r="G434" s="8"/>
      <c r="H434" s="8"/>
      <c r="I434" s="8"/>
      <c r="J434" s="8"/>
      <c r="K434" s="8"/>
    </row>
    <row r="435" ht="15.75" customHeight="1">
      <c r="A435" s="8"/>
      <c r="B435" s="8"/>
      <c r="C435" s="8"/>
      <c r="D435" s="8"/>
      <c r="E435" s="8"/>
      <c r="F435" s="8"/>
      <c r="G435" s="8"/>
      <c r="H435" s="8"/>
      <c r="I435" s="8"/>
      <c r="J435" s="8"/>
      <c r="K435" s="8"/>
    </row>
    <row r="436" ht="15.75" customHeight="1">
      <c r="A436" s="8"/>
      <c r="B436" s="8"/>
      <c r="C436" s="8"/>
      <c r="D436" s="8"/>
      <c r="E436" s="8"/>
      <c r="F436" s="8"/>
      <c r="G436" s="8"/>
      <c r="H436" s="8"/>
      <c r="I436" s="8"/>
      <c r="J436" s="8"/>
      <c r="K436" s="8"/>
    </row>
    <row r="437" ht="15.75" customHeight="1">
      <c r="A437" s="8"/>
      <c r="B437" s="8"/>
      <c r="C437" s="8"/>
      <c r="D437" s="8"/>
      <c r="E437" s="8"/>
      <c r="F437" s="8"/>
      <c r="G437" s="8"/>
      <c r="H437" s="8"/>
      <c r="I437" s="8"/>
      <c r="J437" s="8"/>
      <c r="K437" s="8"/>
    </row>
    <row r="438" ht="15.75" customHeight="1">
      <c r="A438" s="8"/>
      <c r="B438" s="8"/>
      <c r="C438" s="8"/>
      <c r="D438" s="8"/>
      <c r="E438" s="8"/>
      <c r="F438" s="8"/>
      <c r="G438" s="8"/>
      <c r="H438" s="8"/>
      <c r="I438" s="8"/>
      <c r="J438" s="8"/>
      <c r="K438" s="8"/>
    </row>
    <row r="439" ht="15.75" customHeight="1">
      <c r="A439" s="8"/>
      <c r="B439" s="8"/>
      <c r="C439" s="8"/>
      <c r="D439" s="8"/>
      <c r="E439" s="8"/>
      <c r="F439" s="8"/>
      <c r="G439" s="8"/>
      <c r="H439" s="8"/>
      <c r="I439" s="8"/>
      <c r="J439" s="8"/>
      <c r="K439" s="8"/>
    </row>
    <row r="440" ht="15.75" customHeight="1">
      <c r="A440" s="8"/>
      <c r="B440" s="8"/>
      <c r="C440" s="8"/>
      <c r="D440" s="8"/>
      <c r="E440" s="8"/>
      <c r="F440" s="8"/>
      <c r="G440" s="8"/>
      <c r="H440" s="8"/>
      <c r="I440" s="8"/>
      <c r="J440" s="8"/>
      <c r="K440" s="8"/>
    </row>
    <row r="441" ht="15.75" customHeight="1">
      <c r="A441" s="8"/>
      <c r="B441" s="8"/>
      <c r="C441" s="8"/>
      <c r="D441" s="8"/>
      <c r="E441" s="8"/>
      <c r="F441" s="8"/>
      <c r="G441" s="8"/>
      <c r="H441" s="8"/>
      <c r="I441" s="8"/>
      <c r="J441" s="8"/>
      <c r="K441" s="8"/>
    </row>
    <row r="442" ht="15.75" customHeight="1">
      <c r="A442" s="8"/>
      <c r="B442" s="8"/>
      <c r="C442" s="8"/>
      <c r="D442" s="8"/>
      <c r="E442" s="8"/>
      <c r="F442" s="8"/>
      <c r="G442" s="8"/>
      <c r="H442" s="8"/>
      <c r="I442" s="8"/>
      <c r="J442" s="8"/>
      <c r="K442" s="8"/>
    </row>
    <row r="443" ht="15.75" customHeight="1">
      <c r="A443" s="8"/>
      <c r="B443" s="8"/>
      <c r="C443" s="8"/>
      <c r="D443" s="8"/>
      <c r="E443" s="8"/>
      <c r="F443" s="8"/>
      <c r="G443" s="8"/>
      <c r="H443" s="8"/>
      <c r="I443" s="8"/>
      <c r="J443" s="8"/>
      <c r="K443" s="8"/>
    </row>
    <row r="444" ht="15.75" customHeight="1">
      <c r="A444" s="8"/>
      <c r="B444" s="8"/>
      <c r="C444" s="8"/>
      <c r="D444" s="8"/>
      <c r="E444" s="8"/>
      <c r="F444" s="8"/>
      <c r="G444" s="8"/>
      <c r="H444" s="8"/>
      <c r="I444" s="8"/>
      <c r="J444" s="8"/>
      <c r="K444" s="8"/>
    </row>
    <row r="445" ht="15.75" customHeight="1">
      <c r="A445" s="8"/>
      <c r="B445" s="8"/>
      <c r="C445" s="8"/>
      <c r="D445" s="8"/>
      <c r="E445" s="8"/>
      <c r="F445" s="8"/>
      <c r="G445" s="8"/>
      <c r="H445" s="8"/>
      <c r="I445" s="8"/>
      <c r="J445" s="8"/>
      <c r="K445" s="8"/>
    </row>
    <row r="446" ht="15.75" customHeight="1">
      <c r="A446" s="8"/>
      <c r="B446" s="8"/>
      <c r="C446" s="8"/>
      <c r="D446" s="8"/>
      <c r="E446" s="8"/>
      <c r="F446" s="8"/>
      <c r="G446" s="8"/>
      <c r="H446" s="8"/>
      <c r="I446" s="8"/>
      <c r="J446" s="8"/>
      <c r="K446" s="8"/>
    </row>
    <row r="447" ht="15.75" customHeight="1">
      <c r="A447" s="8"/>
      <c r="B447" s="8"/>
      <c r="C447" s="8"/>
      <c r="D447" s="8"/>
      <c r="E447" s="8"/>
      <c r="F447" s="8"/>
      <c r="G447" s="8"/>
      <c r="H447" s="8"/>
      <c r="I447" s="8"/>
      <c r="J447" s="8"/>
      <c r="K447" s="8"/>
    </row>
    <row r="448" ht="15.75" customHeight="1">
      <c r="A448" s="8"/>
      <c r="B448" s="8"/>
      <c r="C448" s="8"/>
      <c r="D448" s="8"/>
      <c r="E448" s="8"/>
      <c r="F448" s="8"/>
      <c r="G448" s="8"/>
      <c r="H448" s="8"/>
      <c r="I448" s="8"/>
      <c r="J448" s="8"/>
      <c r="K448" s="8"/>
    </row>
    <row r="449" ht="15.75" customHeight="1">
      <c r="A449" s="8"/>
      <c r="B449" s="8"/>
      <c r="C449" s="8"/>
      <c r="D449" s="8"/>
      <c r="E449" s="8"/>
      <c r="F449" s="8"/>
      <c r="G449" s="8"/>
      <c r="H449" s="8"/>
      <c r="I449" s="8"/>
      <c r="J449" s="8"/>
      <c r="K449" s="8"/>
    </row>
    <row r="450" ht="15.75" customHeight="1">
      <c r="A450" s="8"/>
      <c r="B450" s="8"/>
      <c r="C450" s="8"/>
      <c r="D450" s="8"/>
      <c r="E450" s="8"/>
      <c r="F450" s="8"/>
      <c r="G450" s="8"/>
      <c r="H450" s="8"/>
      <c r="I450" s="8"/>
      <c r="J450" s="8"/>
      <c r="K450" s="8"/>
    </row>
    <row r="451" ht="15.75" customHeight="1">
      <c r="A451" s="8"/>
      <c r="B451" s="8"/>
      <c r="C451" s="8"/>
      <c r="D451" s="8"/>
      <c r="E451" s="8"/>
      <c r="F451" s="8"/>
      <c r="G451" s="8"/>
      <c r="H451" s="8"/>
      <c r="I451" s="8"/>
      <c r="J451" s="8"/>
      <c r="K451" s="8"/>
    </row>
    <row r="452" ht="15.75" customHeight="1">
      <c r="A452" s="8"/>
      <c r="B452" s="8"/>
      <c r="C452" s="8"/>
      <c r="D452" s="8"/>
      <c r="E452" s="8"/>
      <c r="F452" s="8"/>
      <c r="G452" s="8"/>
      <c r="H452" s="8"/>
      <c r="I452" s="8"/>
      <c r="J452" s="8"/>
      <c r="K452" s="8"/>
    </row>
    <row r="453" ht="15.75" customHeight="1">
      <c r="A453" s="8"/>
      <c r="B453" s="8"/>
      <c r="C453" s="8"/>
      <c r="D453" s="8"/>
      <c r="E453" s="8"/>
      <c r="F453" s="8"/>
      <c r="G453" s="8"/>
      <c r="H453" s="8"/>
      <c r="I453" s="8"/>
      <c r="J453" s="8"/>
      <c r="K453" s="8"/>
    </row>
    <row r="454" ht="15.75" customHeight="1">
      <c r="A454" s="8"/>
      <c r="B454" s="8"/>
      <c r="C454" s="8"/>
      <c r="D454" s="8"/>
      <c r="E454" s="8"/>
      <c r="F454" s="8"/>
      <c r="G454" s="8"/>
      <c r="H454" s="8"/>
      <c r="I454" s="8"/>
      <c r="J454" s="8"/>
      <c r="K454" s="8"/>
    </row>
    <row r="455" ht="15.75" customHeight="1">
      <c r="A455" s="8"/>
      <c r="B455" s="8"/>
      <c r="C455" s="8"/>
      <c r="D455" s="8"/>
      <c r="E455" s="8"/>
      <c r="F455" s="8"/>
      <c r="G455" s="8"/>
      <c r="H455" s="8"/>
      <c r="I455" s="8"/>
      <c r="J455" s="8"/>
      <c r="K455" s="8"/>
    </row>
    <row r="456" ht="15.75" customHeight="1">
      <c r="A456" s="8"/>
      <c r="B456" s="8"/>
      <c r="C456" s="8"/>
      <c r="D456" s="8"/>
      <c r="E456" s="8"/>
      <c r="F456" s="8"/>
      <c r="G456" s="8"/>
      <c r="H456" s="8"/>
      <c r="I456" s="8"/>
      <c r="J456" s="8"/>
      <c r="K456" s="8"/>
    </row>
    <row r="457" ht="15.75" customHeight="1">
      <c r="A457" s="8"/>
      <c r="B457" s="8"/>
      <c r="C457" s="8"/>
      <c r="D457" s="8"/>
      <c r="E457" s="8"/>
      <c r="F457" s="8"/>
      <c r="G457" s="8"/>
      <c r="H457" s="8"/>
      <c r="I457" s="8"/>
      <c r="J457" s="8"/>
      <c r="K457" s="8"/>
    </row>
    <row r="458" ht="15.75" customHeight="1">
      <c r="A458" s="8"/>
      <c r="B458" s="8"/>
      <c r="C458" s="8"/>
      <c r="D458" s="8"/>
      <c r="E458" s="8"/>
      <c r="F458" s="8"/>
      <c r="G458" s="8"/>
      <c r="H458" s="8"/>
      <c r="I458" s="8"/>
      <c r="J458" s="8"/>
      <c r="K458" s="8"/>
    </row>
    <row r="459" ht="15.75" customHeight="1">
      <c r="A459" s="8"/>
      <c r="B459" s="8"/>
      <c r="C459" s="8"/>
      <c r="D459" s="8"/>
      <c r="E459" s="8"/>
      <c r="F459" s="8"/>
      <c r="G459" s="8"/>
      <c r="H459" s="8"/>
      <c r="I459" s="8"/>
      <c r="J459" s="8"/>
      <c r="K459" s="8"/>
    </row>
    <row r="460" ht="15.75" customHeight="1">
      <c r="A460" s="8"/>
      <c r="B460" s="8"/>
      <c r="C460" s="8"/>
      <c r="D460" s="8"/>
      <c r="E460" s="8"/>
      <c r="F460" s="8"/>
      <c r="G460" s="8"/>
      <c r="H460" s="8"/>
      <c r="I460" s="8"/>
      <c r="J460" s="8"/>
      <c r="K460" s="8"/>
    </row>
    <row r="461" ht="15.75" customHeight="1">
      <c r="A461" s="8"/>
      <c r="B461" s="8"/>
      <c r="C461" s="8"/>
      <c r="D461" s="8"/>
      <c r="E461" s="8"/>
      <c r="F461" s="8"/>
      <c r="G461" s="8"/>
      <c r="H461" s="8"/>
      <c r="I461" s="8"/>
      <c r="J461" s="8"/>
      <c r="K461" s="8"/>
    </row>
    <row r="462" ht="15.75" customHeight="1">
      <c r="A462" s="8"/>
      <c r="B462" s="8"/>
      <c r="C462" s="8"/>
      <c r="D462" s="8"/>
      <c r="E462" s="8"/>
      <c r="F462" s="8"/>
      <c r="G462" s="8"/>
      <c r="H462" s="8"/>
      <c r="I462" s="8"/>
      <c r="J462" s="8"/>
      <c r="K462" s="8"/>
    </row>
    <row r="463" ht="15.75" customHeight="1">
      <c r="A463" s="8"/>
      <c r="B463" s="8"/>
      <c r="C463" s="8"/>
      <c r="D463" s="8"/>
      <c r="E463" s="8"/>
      <c r="F463" s="8"/>
      <c r="G463" s="8"/>
      <c r="H463" s="8"/>
      <c r="I463" s="8"/>
      <c r="J463" s="8"/>
      <c r="K463" s="8"/>
    </row>
    <row r="464" ht="15.75" customHeight="1">
      <c r="A464" s="8"/>
      <c r="B464" s="8"/>
      <c r="C464" s="8"/>
      <c r="D464" s="8"/>
      <c r="E464" s="8"/>
      <c r="F464" s="8"/>
      <c r="G464" s="8"/>
      <c r="H464" s="8"/>
      <c r="I464" s="8"/>
      <c r="J464" s="8"/>
      <c r="K464" s="8"/>
    </row>
    <row r="465" ht="15.75" customHeight="1">
      <c r="A465" s="8"/>
      <c r="B465" s="8"/>
      <c r="C465" s="8"/>
      <c r="D465" s="8"/>
      <c r="E465" s="8"/>
      <c r="F465" s="8"/>
      <c r="G465" s="8"/>
      <c r="H465" s="8"/>
      <c r="I465" s="8"/>
      <c r="J465" s="8"/>
      <c r="K465" s="8"/>
    </row>
    <row r="466" ht="15.75" customHeight="1">
      <c r="A466" s="8"/>
      <c r="B466" s="8"/>
      <c r="C466" s="8"/>
      <c r="D466" s="8"/>
      <c r="E466" s="8"/>
      <c r="F466" s="8"/>
      <c r="G466" s="8"/>
      <c r="H466" s="8"/>
      <c r="I466" s="8"/>
      <c r="J466" s="8"/>
      <c r="K466" s="8"/>
    </row>
    <row r="467" ht="15.75" customHeight="1">
      <c r="A467" s="8"/>
      <c r="B467" s="8"/>
      <c r="C467" s="8"/>
      <c r="D467" s="8"/>
      <c r="E467" s="8"/>
      <c r="F467" s="8"/>
      <c r="G467" s="8"/>
      <c r="H467" s="8"/>
      <c r="I467" s="8"/>
      <c r="J467" s="8"/>
      <c r="K467" s="8"/>
    </row>
    <row r="468" ht="15.75" customHeight="1">
      <c r="A468" s="8"/>
      <c r="B468" s="8"/>
      <c r="C468" s="8"/>
      <c r="D468" s="8"/>
      <c r="E468" s="8"/>
      <c r="F468" s="8"/>
      <c r="G468" s="8"/>
      <c r="H468" s="8"/>
      <c r="I468" s="8"/>
      <c r="J468" s="8"/>
      <c r="K468" s="8"/>
    </row>
    <row r="469" ht="15.75" customHeight="1">
      <c r="A469" s="8"/>
      <c r="B469" s="8"/>
      <c r="C469" s="8"/>
      <c r="D469" s="8"/>
      <c r="E469" s="8"/>
      <c r="F469" s="8"/>
      <c r="G469" s="8"/>
      <c r="H469" s="8"/>
      <c r="I469" s="8"/>
      <c r="J469" s="8"/>
      <c r="K469" s="8"/>
    </row>
    <row r="470" ht="15.75" customHeight="1">
      <c r="A470" s="8"/>
      <c r="B470" s="8"/>
      <c r="C470" s="8"/>
      <c r="D470" s="8"/>
      <c r="E470" s="8"/>
      <c r="F470" s="8"/>
      <c r="G470" s="8"/>
      <c r="H470" s="8"/>
      <c r="I470" s="8"/>
      <c r="J470" s="8"/>
      <c r="K470" s="8"/>
    </row>
    <row r="471" ht="15.75" customHeight="1">
      <c r="A471" s="8"/>
      <c r="B471" s="8"/>
      <c r="C471" s="8"/>
      <c r="D471" s="8"/>
      <c r="E471" s="8"/>
      <c r="F471" s="8"/>
      <c r="G471" s="8"/>
      <c r="H471" s="8"/>
      <c r="I471" s="8"/>
      <c r="J471" s="8"/>
      <c r="K471" s="8"/>
    </row>
    <row r="472" ht="15.75" customHeight="1">
      <c r="A472" s="8"/>
      <c r="B472" s="8"/>
      <c r="C472" s="8"/>
      <c r="D472" s="8"/>
      <c r="E472" s="8"/>
      <c r="F472" s="8"/>
      <c r="G472" s="8"/>
      <c r="H472" s="8"/>
      <c r="I472" s="8"/>
      <c r="J472" s="8"/>
      <c r="K472" s="8"/>
    </row>
    <row r="473" ht="15.75" customHeight="1">
      <c r="A473" s="8"/>
      <c r="B473" s="8"/>
      <c r="C473" s="8"/>
      <c r="D473" s="8"/>
      <c r="E473" s="8"/>
      <c r="F473" s="8"/>
      <c r="G473" s="8"/>
      <c r="H473" s="8"/>
      <c r="I473" s="8"/>
      <c r="J473" s="8"/>
      <c r="K473" s="8"/>
    </row>
    <row r="474" ht="15.75" customHeight="1">
      <c r="A474" s="8"/>
      <c r="B474" s="8"/>
      <c r="C474" s="8"/>
      <c r="D474" s="8"/>
      <c r="E474" s="8"/>
      <c r="F474" s="8"/>
      <c r="G474" s="8"/>
      <c r="H474" s="8"/>
      <c r="I474" s="8"/>
      <c r="J474" s="8"/>
      <c r="K474" s="8"/>
    </row>
    <row r="475" ht="15.75" customHeight="1">
      <c r="A475" s="8"/>
      <c r="B475" s="8"/>
      <c r="C475" s="8"/>
      <c r="D475" s="8"/>
      <c r="E475" s="8"/>
      <c r="F475" s="8"/>
      <c r="G475" s="8"/>
      <c r="H475" s="8"/>
      <c r="I475" s="8"/>
      <c r="J475" s="8"/>
      <c r="K475" s="8"/>
    </row>
    <row r="476" ht="15.75" customHeight="1">
      <c r="A476" s="8"/>
      <c r="B476" s="8"/>
      <c r="C476" s="8"/>
      <c r="D476" s="8"/>
      <c r="E476" s="8"/>
      <c r="F476" s="8"/>
      <c r="G476" s="8"/>
      <c r="H476" s="8"/>
      <c r="I476" s="8"/>
      <c r="J476" s="8"/>
      <c r="K476" s="8"/>
    </row>
    <row r="477" ht="15.75" customHeight="1">
      <c r="A477" s="8"/>
      <c r="B477" s="8"/>
      <c r="C477" s="8"/>
      <c r="D477" s="8"/>
      <c r="E477" s="8"/>
      <c r="F477" s="8"/>
      <c r="G477" s="8"/>
      <c r="H477" s="8"/>
      <c r="I477" s="8"/>
      <c r="J477" s="8"/>
      <c r="K477" s="8"/>
    </row>
    <row r="478" ht="15.75" customHeight="1">
      <c r="A478" s="8"/>
      <c r="B478" s="8"/>
      <c r="C478" s="8"/>
      <c r="D478" s="8"/>
      <c r="E478" s="8"/>
      <c r="F478" s="8"/>
      <c r="G478" s="8"/>
      <c r="H478" s="8"/>
      <c r="I478" s="8"/>
      <c r="J478" s="8"/>
      <c r="K478" s="8"/>
    </row>
    <row r="479" ht="15.75" customHeight="1">
      <c r="A479" s="8"/>
      <c r="B479" s="8"/>
      <c r="C479" s="8"/>
      <c r="D479" s="8"/>
      <c r="E479" s="8"/>
      <c r="F479" s="8"/>
      <c r="G479" s="8"/>
      <c r="H479" s="8"/>
      <c r="I479" s="8"/>
      <c r="J479" s="8"/>
      <c r="K479" s="8"/>
    </row>
    <row r="480" ht="15.75" customHeight="1">
      <c r="A480" s="8"/>
      <c r="B480" s="8"/>
      <c r="C480" s="8"/>
      <c r="D480" s="8"/>
      <c r="E480" s="8"/>
      <c r="F480" s="8"/>
      <c r="G480" s="8"/>
      <c r="H480" s="8"/>
      <c r="I480" s="8"/>
      <c r="J480" s="8"/>
      <c r="K480" s="8"/>
    </row>
    <row r="481" ht="15.75" customHeight="1">
      <c r="A481" s="8"/>
      <c r="B481" s="8"/>
      <c r="C481" s="8"/>
      <c r="D481" s="8"/>
      <c r="E481" s="8"/>
      <c r="F481" s="8"/>
      <c r="G481" s="8"/>
      <c r="H481" s="8"/>
      <c r="I481" s="8"/>
      <c r="J481" s="8"/>
      <c r="K481" s="8"/>
    </row>
    <row r="482" ht="15.75" customHeight="1">
      <c r="A482" s="8"/>
      <c r="B482" s="8"/>
      <c r="C482" s="8"/>
      <c r="D482" s="8"/>
      <c r="E482" s="8"/>
      <c r="F482" s="8"/>
      <c r="G482" s="8"/>
      <c r="H482" s="8"/>
      <c r="I482" s="8"/>
      <c r="J482" s="8"/>
      <c r="K482" s="8"/>
    </row>
    <row r="483" ht="15.75" customHeight="1">
      <c r="A483" s="8"/>
      <c r="B483" s="8"/>
      <c r="C483" s="8"/>
      <c r="D483" s="8"/>
      <c r="E483" s="8"/>
      <c r="F483" s="8"/>
      <c r="G483" s="8"/>
      <c r="H483" s="8"/>
      <c r="I483" s="8"/>
      <c r="J483" s="8"/>
      <c r="K483" s="8"/>
    </row>
    <row r="484" ht="15.75" customHeight="1">
      <c r="A484" s="8"/>
      <c r="B484" s="8"/>
      <c r="C484" s="8"/>
      <c r="D484" s="8"/>
      <c r="E484" s="8"/>
      <c r="F484" s="8"/>
      <c r="G484" s="8"/>
      <c r="H484" s="8"/>
      <c r="I484" s="8"/>
      <c r="J484" s="8"/>
      <c r="K484" s="8"/>
    </row>
    <row r="485" ht="15.75" customHeight="1">
      <c r="A485" s="8"/>
      <c r="B485" s="8"/>
      <c r="C485" s="8"/>
      <c r="D485" s="8"/>
      <c r="E485" s="8"/>
      <c r="F485" s="8"/>
      <c r="G485" s="8"/>
      <c r="H485" s="8"/>
      <c r="I485" s="8"/>
      <c r="J485" s="8"/>
      <c r="K485" s="8"/>
    </row>
    <row r="486" ht="15.75" customHeight="1">
      <c r="A486" s="8"/>
      <c r="B486" s="8"/>
      <c r="C486" s="8"/>
      <c r="D486" s="8"/>
      <c r="E486" s="8"/>
      <c r="F486" s="8"/>
      <c r="G486" s="8"/>
      <c r="H486" s="8"/>
      <c r="I486" s="8"/>
      <c r="J486" s="8"/>
      <c r="K486" s="8"/>
    </row>
    <row r="487" ht="15.75" customHeight="1">
      <c r="A487" s="8"/>
      <c r="B487" s="8"/>
      <c r="C487" s="8"/>
      <c r="D487" s="8"/>
      <c r="E487" s="8"/>
      <c r="F487" s="8"/>
      <c r="G487" s="8"/>
      <c r="H487" s="8"/>
      <c r="I487" s="8"/>
      <c r="J487" s="8"/>
      <c r="K487" s="8"/>
    </row>
    <row r="488" ht="15.75" customHeight="1">
      <c r="A488" s="8"/>
      <c r="B488" s="8"/>
      <c r="C488" s="8"/>
      <c r="D488" s="8"/>
      <c r="E488" s="8"/>
      <c r="F488" s="8"/>
      <c r="G488" s="8"/>
      <c r="H488" s="8"/>
      <c r="I488" s="8"/>
      <c r="J488" s="8"/>
      <c r="K488" s="8"/>
    </row>
    <row r="489" ht="15.75" customHeight="1">
      <c r="A489" s="8"/>
      <c r="B489" s="8"/>
      <c r="C489" s="8"/>
      <c r="D489" s="8"/>
      <c r="E489" s="8"/>
      <c r="F489" s="8"/>
      <c r="G489" s="8"/>
      <c r="H489" s="8"/>
      <c r="I489" s="8"/>
      <c r="J489" s="8"/>
      <c r="K489" s="8"/>
    </row>
    <row r="490" ht="15.75" customHeight="1">
      <c r="A490" s="8"/>
      <c r="B490" s="8"/>
      <c r="C490" s="8"/>
      <c r="D490" s="8"/>
      <c r="E490" s="8"/>
      <c r="F490" s="8"/>
      <c r="G490" s="8"/>
      <c r="H490" s="8"/>
      <c r="I490" s="8"/>
      <c r="J490" s="8"/>
      <c r="K490" s="8"/>
    </row>
    <row r="491" ht="15.75" customHeight="1">
      <c r="A491" s="8"/>
      <c r="B491" s="8"/>
      <c r="C491" s="8"/>
      <c r="D491" s="8"/>
      <c r="E491" s="8"/>
      <c r="F491" s="8"/>
      <c r="G491" s="8"/>
      <c r="H491" s="8"/>
      <c r="I491" s="8"/>
      <c r="J491" s="8"/>
      <c r="K491" s="8"/>
    </row>
    <row r="492" ht="15.75" customHeight="1">
      <c r="A492" s="8"/>
      <c r="B492" s="8"/>
      <c r="C492" s="8"/>
      <c r="D492" s="8"/>
      <c r="E492" s="8"/>
      <c r="F492" s="8"/>
      <c r="G492" s="8"/>
      <c r="H492" s="8"/>
      <c r="I492" s="8"/>
      <c r="J492" s="8"/>
      <c r="K492" s="8"/>
    </row>
    <row r="493" ht="15.75" customHeight="1">
      <c r="A493" s="8"/>
      <c r="B493" s="8"/>
      <c r="C493" s="8"/>
      <c r="D493" s="8"/>
      <c r="E493" s="8"/>
      <c r="F493" s="8"/>
      <c r="G493" s="8"/>
      <c r="H493" s="8"/>
      <c r="I493" s="8"/>
      <c r="J493" s="8"/>
      <c r="K493" s="8"/>
    </row>
    <row r="494" ht="15.75" customHeight="1">
      <c r="A494" s="8"/>
      <c r="B494" s="8"/>
      <c r="C494" s="8"/>
      <c r="D494" s="8"/>
      <c r="E494" s="8"/>
      <c r="F494" s="8"/>
      <c r="G494" s="8"/>
      <c r="H494" s="8"/>
      <c r="I494" s="8"/>
      <c r="J494" s="8"/>
      <c r="K494" s="8"/>
    </row>
    <row r="495" ht="15.75" customHeight="1">
      <c r="A495" s="8"/>
      <c r="B495" s="8"/>
      <c r="C495" s="8"/>
      <c r="D495" s="8"/>
      <c r="E495" s="8"/>
      <c r="F495" s="8"/>
      <c r="G495" s="8"/>
      <c r="H495" s="8"/>
      <c r="I495" s="8"/>
      <c r="J495" s="8"/>
      <c r="K495" s="8"/>
    </row>
    <row r="496" ht="15.75" customHeight="1">
      <c r="A496" s="8"/>
      <c r="B496" s="8"/>
      <c r="C496" s="8"/>
      <c r="D496" s="8"/>
      <c r="E496" s="8"/>
      <c r="F496" s="8"/>
      <c r="G496" s="8"/>
      <c r="H496" s="8"/>
      <c r="I496" s="8"/>
      <c r="J496" s="8"/>
      <c r="K496" s="8"/>
    </row>
    <row r="497" ht="15.75" customHeight="1">
      <c r="A497" s="8"/>
      <c r="B497" s="8"/>
      <c r="C497" s="8"/>
      <c r="D497" s="8"/>
      <c r="E497" s="8"/>
      <c r="F497" s="8"/>
      <c r="G497" s="8"/>
      <c r="H497" s="8"/>
      <c r="I497" s="8"/>
      <c r="J497" s="8"/>
      <c r="K497" s="8"/>
    </row>
    <row r="498" ht="15.75" customHeight="1">
      <c r="A498" s="8"/>
      <c r="B498" s="8"/>
      <c r="C498" s="8"/>
      <c r="D498" s="8"/>
      <c r="E498" s="8"/>
      <c r="F498" s="8"/>
      <c r="G498" s="8"/>
      <c r="H498" s="8"/>
      <c r="I498" s="8"/>
      <c r="J498" s="8"/>
      <c r="K498" s="8"/>
    </row>
    <row r="499" ht="15.75" customHeight="1">
      <c r="A499" s="8"/>
      <c r="B499" s="8"/>
      <c r="C499" s="8"/>
      <c r="D499" s="8"/>
      <c r="E499" s="8"/>
      <c r="F499" s="8"/>
      <c r="G499" s="8"/>
      <c r="H499" s="8"/>
      <c r="I499" s="8"/>
      <c r="J499" s="8"/>
      <c r="K499" s="8"/>
    </row>
    <row r="500" ht="15.75" customHeight="1">
      <c r="A500" s="8"/>
      <c r="B500" s="8"/>
      <c r="C500" s="8"/>
      <c r="D500" s="8"/>
      <c r="E500" s="8"/>
      <c r="F500" s="8"/>
      <c r="G500" s="8"/>
      <c r="H500" s="8"/>
      <c r="I500" s="8"/>
      <c r="J500" s="8"/>
      <c r="K500" s="8"/>
    </row>
    <row r="501" ht="15.75" customHeight="1">
      <c r="A501" s="8"/>
      <c r="B501" s="8"/>
      <c r="C501" s="8"/>
      <c r="D501" s="8"/>
      <c r="E501" s="8"/>
      <c r="F501" s="8"/>
      <c r="G501" s="8"/>
      <c r="H501" s="8"/>
      <c r="I501" s="8"/>
      <c r="J501" s="8"/>
      <c r="K501" s="8"/>
    </row>
    <row r="502" ht="15.75" customHeight="1">
      <c r="A502" s="8"/>
      <c r="B502" s="8"/>
      <c r="C502" s="8"/>
      <c r="D502" s="8"/>
      <c r="E502" s="8"/>
      <c r="F502" s="8"/>
      <c r="G502" s="8"/>
      <c r="H502" s="8"/>
      <c r="I502" s="8"/>
      <c r="J502" s="8"/>
      <c r="K502" s="8"/>
    </row>
    <row r="503" ht="15.75" customHeight="1">
      <c r="A503" s="8"/>
      <c r="B503" s="8"/>
      <c r="C503" s="8"/>
      <c r="D503" s="8"/>
      <c r="E503" s="8"/>
      <c r="F503" s="8"/>
      <c r="G503" s="8"/>
      <c r="H503" s="8"/>
      <c r="I503" s="8"/>
      <c r="J503" s="8"/>
      <c r="K503" s="8"/>
    </row>
    <row r="504" ht="15.75" customHeight="1">
      <c r="A504" s="8"/>
      <c r="B504" s="8"/>
      <c r="C504" s="8"/>
      <c r="D504" s="8"/>
      <c r="E504" s="8"/>
      <c r="F504" s="8"/>
      <c r="G504" s="8"/>
      <c r="H504" s="8"/>
      <c r="I504" s="8"/>
      <c r="J504" s="8"/>
      <c r="K504" s="8"/>
    </row>
    <row r="505" ht="15.75" customHeight="1">
      <c r="A505" s="8"/>
      <c r="B505" s="8"/>
      <c r="C505" s="8"/>
      <c r="D505" s="8"/>
      <c r="E505" s="8"/>
      <c r="F505" s="8"/>
      <c r="G505" s="8"/>
      <c r="H505" s="8"/>
      <c r="I505" s="8"/>
      <c r="J505" s="8"/>
      <c r="K505" s="8"/>
    </row>
    <row r="506" ht="15.75" customHeight="1">
      <c r="A506" s="8"/>
      <c r="B506" s="8"/>
      <c r="C506" s="8"/>
      <c r="D506" s="8"/>
      <c r="E506" s="8"/>
      <c r="F506" s="8"/>
      <c r="G506" s="8"/>
      <c r="H506" s="8"/>
      <c r="I506" s="8"/>
      <c r="J506" s="8"/>
      <c r="K506" s="8"/>
    </row>
    <row r="507" ht="15.75" customHeight="1">
      <c r="A507" s="8"/>
      <c r="B507" s="8"/>
      <c r="C507" s="8"/>
      <c r="D507" s="8"/>
      <c r="E507" s="8"/>
      <c r="F507" s="8"/>
      <c r="G507" s="8"/>
      <c r="H507" s="8"/>
      <c r="I507" s="8"/>
      <c r="J507" s="8"/>
      <c r="K507" s="8"/>
    </row>
    <row r="508" ht="15.75" customHeight="1">
      <c r="A508" s="8"/>
      <c r="B508" s="8"/>
      <c r="C508" s="8"/>
      <c r="D508" s="8"/>
      <c r="E508" s="8"/>
      <c r="F508" s="8"/>
      <c r="G508" s="8"/>
      <c r="H508" s="8"/>
      <c r="I508" s="8"/>
      <c r="J508" s="8"/>
      <c r="K508" s="8"/>
    </row>
    <row r="509" ht="15.75" customHeight="1">
      <c r="A509" s="8"/>
      <c r="B509" s="8"/>
      <c r="C509" s="8"/>
      <c r="D509" s="8"/>
      <c r="E509" s="8"/>
      <c r="F509" s="8"/>
      <c r="G509" s="8"/>
      <c r="H509" s="8"/>
      <c r="I509" s="8"/>
      <c r="J509" s="8"/>
      <c r="K509" s="8"/>
    </row>
    <row r="510" ht="15.75" customHeight="1">
      <c r="A510" s="8"/>
      <c r="B510" s="8"/>
      <c r="C510" s="8"/>
      <c r="D510" s="8"/>
      <c r="E510" s="8"/>
      <c r="F510" s="8"/>
      <c r="G510" s="8"/>
      <c r="H510" s="8"/>
      <c r="I510" s="8"/>
      <c r="J510" s="8"/>
      <c r="K510" s="8"/>
    </row>
    <row r="511" ht="15.75" customHeight="1">
      <c r="A511" s="8"/>
      <c r="B511" s="8"/>
      <c r="C511" s="8"/>
      <c r="D511" s="8"/>
      <c r="E511" s="8"/>
      <c r="F511" s="8"/>
      <c r="G511" s="8"/>
      <c r="H511" s="8"/>
      <c r="I511" s="8"/>
      <c r="J511" s="8"/>
      <c r="K511" s="8"/>
    </row>
    <row r="512" ht="15.75" customHeight="1">
      <c r="A512" s="8"/>
      <c r="B512" s="8"/>
      <c r="C512" s="8"/>
      <c r="D512" s="8"/>
      <c r="E512" s="8"/>
      <c r="F512" s="8"/>
      <c r="G512" s="8"/>
      <c r="H512" s="8"/>
      <c r="I512" s="8"/>
      <c r="J512" s="8"/>
      <c r="K512" s="8"/>
    </row>
    <row r="513" ht="15.75" customHeight="1">
      <c r="A513" s="8"/>
      <c r="B513" s="8"/>
      <c r="C513" s="8"/>
      <c r="D513" s="8"/>
      <c r="E513" s="8"/>
      <c r="F513" s="8"/>
      <c r="G513" s="8"/>
      <c r="H513" s="8"/>
      <c r="I513" s="8"/>
      <c r="J513" s="8"/>
      <c r="K513" s="8"/>
    </row>
    <row r="514" ht="15.75" customHeight="1">
      <c r="A514" s="8"/>
      <c r="B514" s="8"/>
      <c r="C514" s="8"/>
      <c r="D514" s="8"/>
      <c r="E514" s="8"/>
      <c r="F514" s="8"/>
      <c r="G514" s="8"/>
      <c r="H514" s="8"/>
      <c r="I514" s="8"/>
      <c r="J514" s="8"/>
      <c r="K514" s="8"/>
    </row>
    <row r="515" ht="15.75" customHeight="1">
      <c r="A515" s="8"/>
      <c r="B515" s="8"/>
      <c r="C515" s="8"/>
      <c r="D515" s="8"/>
      <c r="E515" s="8"/>
      <c r="F515" s="8"/>
      <c r="G515" s="8"/>
      <c r="H515" s="8"/>
      <c r="I515" s="8"/>
      <c r="J515" s="8"/>
      <c r="K515" s="8"/>
    </row>
    <row r="516" ht="15.75" customHeight="1">
      <c r="A516" s="8"/>
      <c r="B516" s="8"/>
      <c r="C516" s="8"/>
      <c r="D516" s="8"/>
      <c r="E516" s="8"/>
      <c r="F516" s="8"/>
      <c r="G516" s="8"/>
      <c r="H516" s="8"/>
      <c r="I516" s="8"/>
      <c r="J516" s="8"/>
      <c r="K516" s="8"/>
    </row>
    <row r="517" ht="15.75" customHeight="1">
      <c r="A517" s="8"/>
      <c r="B517" s="8"/>
      <c r="C517" s="8"/>
      <c r="D517" s="8"/>
      <c r="E517" s="8"/>
      <c r="F517" s="8"/>
      <c r="G517" s="8"/>
      <c r="H517" s="8"/>
      <c r="I517" s="8"/>
      <c r="J517" s="8"/>
      <c r="K517" s="8"/>
    </row>
    <row r="518" ht="15.75" customHeight="1">
      <c r="A518" s="8"/>
      <c r="B518" s="8"/>
      <c r="C518" s="8"/>
      <c r="D518" s="8"/>
      <c r="E518" s="8"/>
      <c r="F518" s="8"/>
      <c r="G518" s="8"/>
      <c r="H518" s="8"/>
      <c r="I518" s="8"/>
      <c r="J518" s="8"/>
      <c r="K518" s="8"/>
    </row>
    <row r="519" ht="15.75" customHeight="1">
      <c r="A519" s="8"/>
      <c r="B519" s="8"/>
      <c r="C519" s="8"/>
      <c r="D519" s="8"/>
      <c r="E519" s="8"/>
      <c r="F519" s="8"/>
      <c r="G519" s="8"/>
      <c r="H519" s="8"/>
      <c r="I519" s="8"/>
      <c r="J519" s="8"/>
      <c r="K519" s="8"/>
    </row>
    <row r="520" ht="15.75" customHeight="1">
      <c r="A520" s="8"/>
      <c r="B520" s="8"/>
      <c r="C520" s="8"/>
      <c r="D520" s="8"/>
      <c r="E520" s="8"/>
      <c r="F520" s="8"/>
      <c r="G520" s="8"/>
      <c r="H520" s="8"/>
      <c r="I520" s="8"/>
      <c r="J520" s="8"/>
      <c r="K520" s="8"/>
    </row>
    <row r="521" ht="15.75" customHeight="1">
      <c r="A521" s="8"/>
      <c r="B521" s="8"/>
      <c r="C521" s="8"/>
      <c r="D521" s="8"/>
      <c r="E521" s="8"/>
      <c r="F521" s="8"/>
      <c r="G521" s="8"/>
      <c r="H521" s="8"/>
      <c r="I521" s="8"/>
      <c r="J521" s="8"/>
      <c r="K521" s="8"/>
    </row>
    <row r="522" ht="15.75" customHeight="1">
      <c r="A522" s="8"/>
      <c r="B522" s="8"/>
      <c r="C522" s="8"/>
      <c r="D522" s="8"/>
      <c r="E522" s="8"/>
      <c r="F522" s="8"/>
      <c r="G522" s="8"/>
      <c r="H522" s="8"/>
      <c r="I522" s="8"/>
      <c r="J522" s="8"/>
      <c r="K522" s="8"/>
    </row>
    <row r="523" ht="15.75" customHeight="1">
      <c r="A523" s="8"/>
      <c r="B523" s="8"/>
      <c r="C523" s="8"/>
      <c r="D523" s="8"/>
      <c r="E523" s="8"/>
      <c r="F523" s="8"/>
      <c r="G523" s="8"/>
      <c r="H523" s="8"/>
      <c r="I523" s="8"/>
      <c r="J523" s="8"/>
      <c r="K523" s="8"/>
    </row>
    <row r="524" ht="15.75" customHeight="1">
      <c r="A524" s="8"/>
      <c r="B524" s="8"/>
      <c r="C524" s="8"/>
      <c r="D524" s="8"/>
      <c r="E524" s="8"/>
      <c r="F524" s="8"/>
      <c r="G524" s="8"/>
      <c r="H524" s="8"/>
      <c r="I524" s="8"/>
      <c r="J524" s="8"/>
      <c r="K524" s="8"/>
    </row>
    <row r="525" ht="15.75" customHeight="1">
      <c r="A525" s="8"/>
      <c r="B525" s="8"/>
      <c r="C525" s="8"/>
      <c r="D525" s="8"/>
      <c r="E525" s="8"/>
      <c r="F525" s="8"/>
      <c r="G525" s="8"/>
      <c r="H525" s="8"/>
      <c r="I525" s="8"/>
      <c r="J525" s="8"/>
      <c r="K525" s="8"/>
    </row>
    <row r="526" ht="15.75" customHeight="1">
      <c r="A526" s="8"/>
      <c r="B526" s="8"/>
      <c r="C526" s="8"/>
      <c r="D526" s="8"/>
      <c r="E526" s="8"/>
      <c r="F526" s="8"/>
      <c r="G526" s="8"/>
      <c r="H526" s="8"/>
      <c r="I526" s="8"/>
      <c r="J526" s="8"/>
      <c r="K526" s="8"/>
    </row>
    <row r="527" ht="15.75" customHeight="1">
      <c r="A527" s="8"/>
      <c r="B527" s="8"/>
      <c r="C527" s="8"/>
      <c r="D527" s="8"/>
      <c r="E527" s="8"/>
      <c r="F527" s="8"/>
      <c r="G527" s="8"/>
      <c r="H527" s="8"/>
      <c r="I527" s="8"/>
      <c r="J527" s="8"/>
      <c r="K527" s="8"/>
    </row>
    <row r="528" ht="15.75" customHeight="1">
      <c r="A528" s="8"/>
      <c r="B528" s="8"/>
      <c r="C528" s="8"/>
      <c r="D528" s="8"/>
      <c r="E528" s="8"/>
      <c r="F528" s="8"/>
      <c r="G528" s="8"/>
      <c r="H528" s="8"/>
      <c r="I528" s="8"/>
      <c r="J528" s="8"/>
      <c r="K528" s="8"/>
    </row>
    <row r="529" ht="15.75" customHeight="1">
      <c r="A529" s="8"/>
      <c r="B529" s="8"/>
      <c r="C529" s="8"/>
      <c r="D529" s="8"/>
      <c r="E529" s="8"/>
      <c r="F529" s="8"/>
      <c r="G529" s="8"/>
      <c r="H529" s="8"/>
      <c r="I529" s="8"/>
      <c r="J529" s="8"/>
      <c r="K529" s="8"/>
    </row>
    <row r="530" ht="15.75" customHeight="1">
      <c r="A530" s="8"/>
      <c r="B530" s="8"/>
      <c r="C530" s="8"/>
      <c r="D530" s="8"/>
      <c r="E530" s="8"/>
      <c r="F530" s="8"/>
      <c r="G530" s="8"/>
      <c r="H530" s="8"/>
      <c r="I530" s="8"/>
      <c r="J530" s="8"/>
      <c r="K530" s="8"/>
    </row>
    <row r="531" ht="15.75" customHeight="1">
      <c r="A531" s="8"/>
      <c r="B531" s="8"/>
      <c r="C531" s="8"/>
      <c r="D531" s="8"/>
      <c r="E531" s="8"/>
      <c r="F531" s="8"/>
      <c r="G531" s="8"/>
      <c r="H531" s="8"/>
      <c r="I531" s="8"/>
      <c r="J531" s="8"/>
      <c r="K531" s="8"/>
    </row>
    <row r="532" ht="15.75" customHeight="1">
      <c r="A532" s="8"/>
      <c r="B532" s="8"/>
      <c r="C532" s="8"/>
      <c r="D532" s="8"/>
      <c r="E532" s="8"/>
      <c r="F532" s="8"/>
      <c r="G532" s="8"/>
      <c r="H532" s="8"/>
      <c r="I532" s="8"/>
      <c r="J532" s="8"/>
      <c r="K532" s="8"/>
    </row>
    <row r="533" ht="15.75" customHeight="1">
      <c r="A533" s="8"/>
      <c r="B533" s="8"/>
      <c r="C533" s="8"/>
      <c r="D533" s="8"/>
      <c r="E533" s="8"/>
      <c r="F533" s="8"/>
      <c r="G533" s="8"/>
      <c r="H533" s="8"/>
      <c r="I533" s="8"/>
      <c r="J533" s="8"/>
      <c r="K533" s="8"/>
    </row>
    <row r="534" ht="15.75" customHeight="1">
      <c r="A534" s="8"/>
      <c r="B534" s="8"/>
      <c r="C534" s="8"/>
      <c r="D534" s="8"/>
      <c r="E534" s="8"/>
      <c r="F534" s="8"/>
      <c r="G534" s="8"/>
      <c r="H534" s="8"/>
      <c r="I534" s="8"/>
      <c r="J534" s="8"/>
      <c r="K534" s="8"/>
    </row>
    <row r="535" ht="15.75" customHeight="1">
      <c r="A535" s="8"/>
      <c r="B535" s="8"/>
      <c r="C535" s="8"/>
      <c r="D535" s="8"/>
      <c r="E535" s="8"/>
      <c r="F535" s="8"/>
      <c r="G535" s="8"/>
      <c r="H535" s="8"/>
      <c r="I535" s="8"/>
      <c r="J535" s="8"/>
      <c r="K535" s="8"/>
    </row>
    <row r="536" ht="15.75" customHeight="1">
      <c r="A536" s="8"/>
      <c r="B536" s="8"/>
      <c r="C536" s="8"/>
      <c r="D536" s="8"/>
      <c r="E536" s="8"/>
      <c r="F536" s="8"/>
      <c r="G536" s="8"/>
      <c r="H536" s="8"/>
      <c r="I536" s="8"/>
      <c r="J536" s="8"/>
      <c r="K536" s="8"/>
    </row>
    <row r="537" ht="15.75" customHeight="1">
      <c r="A537" s="8"/>
      <c r="B537" s="8"/>
      <c r="C537" s="8"/>
      <c r="D537" s="8"/>
      <c r="E537" s="8"/>
      <c r="F537" s="8"/>
      <c r="G537" s="8"/>
      <c r="H537" s="8"/>
      <c r="I537" s="8"/>
      <c r="J537" s="8"/>
      <c r="K537" s="8"/>
    </row>
    <row r="538" ht="15.75" customHeight="1">
      <c r="A538" s="8"/>
      <c r="B538" s="8"/>
      <c r="C538" s="8"/>
      <c r="D538" s="8"/>
      <c r="E538" s="8"/>
      <c r="F538" s="8"/>
      <c r="G538" s="8"/>
      <c r="H538" s="8"/>
      <c r="I538" s="8"/>
      <c r="J538" s="8"/>
      <c r="K538" s="8"/>
    </row>
    <row r="539" ht="15.75" customHeight="1">
      <c r="A539" s="8"/>
      <c r="B539" s="8"/>
      <c r="C539" s="8"/>
      <c r="D539" s="8"/>
      <c r="E539" s="8"/>
      <c r="F539" s="8"/>
      <c r="G539" s="8"/>
      <c r="H539" s="8"/>
      <c r="I539" s="8"/>
      <c r="J539" s="8"/>
      <c r="K539" s="8"/>
    </row>
    <row r="540" ht="15.75" customHeight="1">
      <c r="A540" s="8"/>
      <c r="B540" s="8"/>
      <c r="C540" s="8"/>
      <c r="D540" s="8"/>
      <c r="E540" s="8"/>
      <c r="F540" s="8"/>
      <c r="G540" s="8"/>
      <c r="H540" s="8"/>
      <c r="I540" s="8"/>
      <c r="J540" s="8"/>
      <c r="K540" s="8"/>
    </row>
    <row r="541" ht="15.75" customHeight="1">
      <c r="A541" s="8"/>
      <c r="B541" s="8"/>
      <c r="C541" s="8"/>
      <c r="D541" s="8"/>
      <c r="E541" s="8"/>
      <c r="F541" s="8"/>
      <c r="G541" s="8"/>
      <c r="H541" s="8"/>
      <c r="I541" s="8"/>
      <c r="J541" s="8"/>
      <c r="K541" s="8"/>
    </row>
    <row r="542" ht="15.75" customHeight="1">
      <c r="A542" s="8"/>
      <c r="B542" s="8"/>
      <c r="C542" s="8"/>
      <c r="D542" s="8"/>
      <c r="E542" s="8"/>
      <c r="F542" s="8"/>
      <c r="G542" s="8"/>
      <c r="H542" s="8"/>
      <c r="I542" s="8"/>
      <c r="J542" s="8"/>
      <c r="K542" s="8"/>
    </row>
    <row r="543" ht="15.75" customHeight="1">
      <c r="A543" s="8"/>
      <c r="B543" s="8"/>
      <c r="C543" s="8"/>
      <c r="D543" s="8"/>
      <c r="E543" s="8"/>
      <c r="F543" s="8"/>
      <c r="G543" s="8"/>
      <c r="H543" s="8"/>
      <c r="I543" s="8"/>
      <c r="J543" s="8"/>
      <c r="K543" s="8"/>
    </row>
    <row r="544" ht="15.75" customHeight="1">
      <c r="A544" s="8"/>
      <c r="B544" s="8"/>
      <c r="C544" s="8"/>
      <c r="D544" s="8"/>
      <c r="E544" s="8"/>
      <c r="F544" s="8"/>
      <c r="G544" s="8"/>
      <c r="H544" s="8"/>
      <c r="I544" s="8"/>
      <c r="J544" s="8"/>
      <c r="K544" s="8"/>
    </row>
    <row r="545" ht="15.75" customHeight="1">
      <c r="A545" s="8"/>
      <c r="B545" s="8"/>
      <c r="C545" s="8"/>
      <c r="D545" s="8"/>
      <c r="E545" s="8"/>
      <c r="F545" s="8"/>
      <c r="G545" s="8"/>
      <c r="H545" s="8"/>
      <c r="I545" s="8"/>
      <c r="J545" s="8"/>
      <c r="K545" s="8"/>
    </row>
    <row r="546" ht="15.75" customHeight="1">
      <c r="A546" s="8"/>
      <c r="B546" s="8"/>
      <c r="C546" s="8"/>
      <c r="D546" s="8"/>
      <c r="E546" s="8"/>
      <c r="F546" s="8"/>
      <c r="G546" s="8"/>
      <c r="H546" s="8"/>
      <c r="I546" s="8"/>
      <c r="J546" s="8"/>
      <c r="K546" s="8"/>
    </row>
    <row r="547" ht="15.75" customHeight="1">
      <c r="A547" s="8"/>
      <c r="B547" s="8"/>
      <c r="C547" s="8"/>
      <c r="D547" s="8"/>
      <c r="E547" s="8"/>
      <c r="F547" s="8"/>
      <c r="G547" s="8"/>
      <c r="H547" s="8"/>
      <c r="I547" s="8"/>
      <c r="J547" s="8"/>
      <c r="K547" s="8"/>
    </row>
    <row r="548" ht="15.75" customHeight="1">
      <c r="A548" s="8"/>
      <c r="B548" s="8"/>
      <c r="C548" s="8"/>
      <c r="D548" s="8"/>
      <c r="E548" s="8"/>
      <c r="F548" s="8"/>
      <c r="G548" s="8"/>
      <c r="H548" s="8"/>
      <c r="I548" s="8"/>
      <c r="J548" s="8"/>
      <c r="K548" s="8"/>
    </row>
    <row r="549" ht="15.75" customHeight="1">
      <c r="A549" s="8"/>
      <c r="B549" s="8"/>
      <c r="C549" s="8"/>
      <c r="D549" s="8"/>
      <c r="E549" s="8"/>
      <c r="F549" s="8"/>
      <c r="G549" s="8"/>
      <c r="H549" s="8"/>
      <c r="I549" s="8"/>
      <c r="J549" s="8"/>
      <c r="K549" s="8"/>
    </row>
    <row r="550" ht="15.75" customHeight="1">
      <c r="A550" s="8"/>
      <c r="B550" s="8"/>
      <c r="C550" s="8"/>
      <c r="D550" s="8"/>
      <c r="E550" s="8"/>
      <c r="F550" s="8"/>
      <c r="G550" s="8"/>
      <c r="H550" s="8"/>
      <c r="I550" s="8"/>
      <c r="J550" s="8"/>
      <c r="K550" s="8"/>
    </row>
    <row r="551" ht="15.75" customHeight="1">
      <c r="A551" s="8"/>
      <c r="B551" s="8"/>
      <c r="C551" s="8"/>
      <c r="D551" s="8"/>
      <c r="E551" s="8"/>
      <c r="F551" s="8"/>
      <c r="G551" s="8"/>
      <c r="H551" s="8"/>
      <c r="I551" s="8"/>
      <c r="J551" s="8"/>
      <c r="K551" s="8"/>
    </row>
    <row r="552" ht="15.75" customHeight="1">
      <c r="A552" s="8"/>
      <c r="B552" s="8"/>
      <c r="C552" s="8"/>
      <c r="D552" s="8"/>
      <c r="E552" s="8"/>
      <c r="F552" s="8"/>
      <c r="G552" s="8"/>
      <c r="H552" s="8"/>
      <c r="I552" s="8"/>
      <c r="J552" s="8"/>
      <c r="K552" s="8"/>
    </row>
    <row r="553" ht="15.75" customHeight="1">
      <c r="A553" s="8"/>
      <c r="B553" s="8"/>
      <c r="C553" s="8"/>
      <c r="D553" s="8"/>
      <c r="E553" s="8"/>
      <c r="F553" s="8"/>
      <c r="G553" s="8"/>
      <c r="H553" s="8"/>
      <c r="I553" s="8"/>
      <c r="J553" s="8"/>
      <c r="K553" s="8"/>
    </row>
    <row r="554" ht="15.75" customHeight="1">
      <c r="A554" s="8"/>
      <c r="B554" s="8"/>
      <c r="C554" s="8"/>
      <c r="D554" s="8"/>
      <c r="E554" s="8"/>
      <c r="F554" s="8"/>
      <c r="G554" s="8"/>
      <c r="H554" s="8"/>
      <c r="I554" s="8"/>
      <c r="J554" s="8"/>
      <c r="K554" s="8"/>
    </row>
    <row r="555" ht="15.75" customHeight="1">
      <c r="A555" s="8"/>
      <c r="B555" s="8"/>
      <c r="C555" s="8"/>
      <c r="D555" s="8"/>
      <c r="E555" s="8"/>
      <c r="F555" s="8"/>
      <c r="G555" s="8"/>
      <c r="H555" s="8"/>
      <c r="I555" s="8"/>
      <c r="J555" s="8"/>
      <c r="K555" s="8"/>
    </row>
    <row r="556" ht="15.75" customHeight="1">
      <c r="A556" s="8"/>
      <c r="B556" s="8"/>
      <c r="C556" s="8"/>
      <c r="D556" s="8"/>
      <c r="E556" s="8"/>
      <c r="F556" s="8"/>
      <c r="G556" s="8"/>
      <c r="H556" s="8"/>
      <c r="I556" s="8"/>
      <c r="J556" s="8"/>
      <c r="K556" s="8"/>
    </row>
    <row r="557" ht="15.75" customHeight="1">
      <c r="A557" s="8"/>
      <c r="B557" s="8"/>
      <c r="C557" s="8"/>
      <c r="D557" s="8"/>
      <c r="E557" s="8"/>
      <c r="F557" s="8"/>
      <c r="G557" s="8"/>
      <c r="H557" s="8"/>
      <c r="I557" s="8"/>
      <c r="J557" s="8"/>
      <c r="K557" s="8"/>
    </row>
    <row r="558" ht="15.75" customHeight="1">
      <c r="A558" s="8"/>
      <c r="B558" s="8"/>
      <c r="C558" s="8"/>
      <c r="D558" s="8"/>
      <c r="E558" s="8"/>
      <c r="F558" s="8"/>
      <c r="G558" s="8"/>
      <c r="H558" s="8"/>
      <c r="I558" s="8"/>
      <c r="J558" s="8"/>
      <c r="K558" s="8"/>
    </row>
    <row r="559" ht="15.75" customHeight="1">
      <c r="A559" s="8"/>
      <c r="B559" s="8"/>
      <c r="C559" s="8"/>
      <c r="D559" s="8"/>
      <c r="E559" s="8"/>
      <c r="F559" s="8"/>
      <c r="G559" s="8"/>
      <c r="H559" s="8"/>
      <c r="I559" s="8"/>
      <c r="J559" s="8"/>
      <c r="K559" s="8"/>
    </row>
    <row r="560" ht="15.75" customHeight="1">
      <c r="A560" s="8"/>
      <c r="B560" s="8"/>
      <c r="C560" s="8"/>
      <c r="D560" s="8"/>
      <c r="E560" s="8"/>
      <c r="F560" s="8"/>
      <c r="G560" s="8"/>
      <c r="H560" s="8"/>
      <c r="I560" s="8"/>
      <c r="J560" s="8"/>
      <c r="K560" s="8"/>
    </row>
    <row r="561" ht="15.75" customHeight="1">
      <c r="A561" s="8"/>
      <c r="B561" s="8"/>
      <c r="C561" s="8"/>
      <c r="D561" s="8"/>
      <c r="E561" s="8"/>
      <c r="F561" s="8"/>
      <c r="G561" s="8"/>
      <c r="H561" s="8"/>
      <c r="I561" s="8"/>
      <c r="J561" s="8"/>
      <c r="K561" s="8"/>
    </row>
    <row r="562" ht="15.75" customHeight="1">
      <c r="A562" s="8"/>
      <c r="B562" s="8"/>
      <c r="C562" s="8"/>
      <c r="D562" s="8"/>
      <c r="E562" s="8"/>
      <c r="F562" s="8"/>
      <c r="G562" s="8"/>
      <c r="H562" s="8"/>
      <c r="I562" s="8"/>
      <c r="J562" s="8"/>
      <c r="K562" s="8"/>
    </row>
    <row r="563" ht="15.75" customHeight="1">
      <c r="A563" s="8"/>
      <c r="B563" s="8"/>
      <c r="C563" s="8"/>
      <c r="D563" s="8"/>
      <c r="E563" s="8"/>
      <c r="F563" s="8"/>
      <c r="G563" s="8"/>
      <c r="H563" s="8"/>
      <c r="I563" s="8"/>
      <c r="J563" s="8"/>
      <c r="K563" s="8"/>
    </row>
    <row r="564" ht="15.75" customHeight="1">
      <c r="A564" s="8"/>
      <c r="B564" s="8"/>
      <c r="C564" s="8"/>
      <c r="D564" s="8"/>
      <c r="E564" s="8"/>
      <c r="F564" s="8"/>
      <c r="G564" s="8"/>
      <c r="H564" s="8"/>
      <c r="I564" s="8"/>
      <c r="J564" s="8"/>
      <c r="K564" s="8"/>
    </row>
    <row r="565" ht="15.75" customHeight="1">
      <c r="A565" s="8"/>
      <c r="B565" s="8"/>
      <c r="C565" s="8"/>
      <c r="D565" s="8"/>
      <c r="E565" s="8"/>
      <c r="F565" s="8"/>
      <c r="G565" s="8"/>
      <c r="H565" s="8"/>
      <c r="I565" s="8"/>
      <c r="J565" s="8"/>
      <c r="K565" s="8"/>
    </row>
    <row r="566" ht="15.75" customHeight="1">
      <c r="A566" s="8"/>
      <c r="B566" s="8"/>
      <c r="C566" s="8"/>
      <c r="D566" s="8"/>
      <c r="E566" s="8"/>
      <c r="F566" s="8"/>
      <c r="G566" s="8"/>
      <c r="H566" s="8"/>
      <c r="I566" s="8"/>
      <c r="J566" s="8"/>
      <c r="K566" s="8"/>
    </row>
    <row r="567" ht="15.75" customHeight="1">
      <c r="A567" s="8"/>
      <c r="B567" s="8"/>
      <c r="C567" s="8"/>
      <c r="D567" s="8"/>
      <c r="E567" s="8"/>
      <c r="F567" s="8"/>
      <c r="G567" s="8"/>
      <c r="H567" s="8"/>
      <c r="I567" s="8"/>
      <c r="J567" s="8"/>
      <c r="K567" s="8"/>
    </row>
    <row r="568" ht="15.75" customHeight="1">
      <c r="A568" s="8"/>
      <c r="B568" s="8"/>
      <c r="C568" s="8"/>
      <c r="D568" s="8"/>
      <c r="E568" s="8"/>
      <c r="F568" s="8"/>
      <c r="G568" s="8"/>
      <c r="H568" s="8"/>
      <c r="I568" s="8"/>
      <c r="J568" s="8"/>
      <c r="K568" s="8"/>
    </row>
    <row r="569" ht="15.75" customHeight="1">
      <c r="A569" s="8"/>
      <c r="B569" s="8"/>
      <c r="C569" s="8"/>
      <c r="D569" s="8"/>
      <c r="E569" s="8"/>
      <c r="F569" s="8"/>
      <c r="G569" s="8"/>
      <c r="H569" s="8"/>
      <c r="I569" s="8"/>
      <c r="J569" s="8"/>
      <c r="K569" s="8"/>
    </row>
    <row r="570" ht="15.75" customHeight="1">
      <c r="A570" s="8"/>
      <c r="B570" s="8"/>
      <c r="C570" s="8"/>
      <c r="D570" s="8"/>
      <c r="E570" s="8"/>
      <c r="F570" s="8"/>
      <c r="G570" s="8"/>
      <c r="H570" s="8"/>
      <c r="I570" s="8"/>
      <c r="J570" s="8"/>
      <c r="K570" s="8"/>
    </row>
    <row r="571" ht="15.75" customHeight="1">
      <c r="A571" s="8"/>
      <c r="B571" s="8"/>
      <c r="C571" s="8"/>
      <c r="D571" s="8"/>
      <c r="E571" s="8"/>
      <c r="F571" s="8"/>
      <c r="G571" s="8"/>
      <c r="H571" s="8"/>
      <c r="I571" s="8"/>
      <c r="J571" s="8"/>
      <c r="K571" s="8"/>
    </row>
    <row r="572" ht="15.75" customHeight="1">
      <c r="A572" s="8"/>
      <c r="B572" s="8"/>
      <c r="C572" s="8"/>
      <c r="D572" s="8"/>
      <c r="E572" s="8"/>
      <c r="F572" s="8"/>
      <c r="G572" s="8"/>
      <c r="H572" s="8"/>
      <c r="I572" s="8"/>
      <c r="J572" s="8"/>
      <c r="K572" s="8"/>
    </row>
    <row r="573" ht="15.75" customHeight="1">
      <c r="A573" s="8"/>
      <c r="B573" s="8"/>
      <c r="C573" s="8"/>
      <c r="D573" s="8"/>
      <c r="E573" s="8"/>
      <c r="F573" s="8"/>
      <c r="G573" s="8"/>
      <c r="H573" s="8"/>
      <c r="I573" s="8"/>
      <c r="J573" s="8"/>
      <c r="K573" s="8"/>
    </row>
    <row r="574" ht="15.75" customHeight="1">
      <c r="A574" s="8"/>
      <c r="B574" s="8"/>
      <c r="C574" s="8"/>
      <c r="D574" s="8"/>
      <c r="E574" s="8"/>
      <c r="F574" s="8"/>
      <c r="G574" s="8"/>
      <c r="H574" s="8"/>
      <c r="I574" s="8"/>
      <c r="J574" s="8"/>
      <c r="K574" s="8"/>
    </row>
    <row r="575" ht="15.75" customHeight="1">
      <c r="A575" s="8"/>
      <c r="B575" s="8"/>
      <c r="C575" s="8"/>
      <c r="D575" s="8"/>
      <c r="E575" s="8"/>
      <c r="F575" s="8"/>
      <c r="G575" s="8"/>
      <c r="H575" s="8"/>
      <c r="I575" s="8"/>
      <c r="J575" s="8"/>
      <c r="K575" s="8"/>
    </row>
    <row r="576" ht="15.75" customHeight="1">
      <c r="A576" s="8"/>
      <c r="B576" s="8"/>
      <c r="C576" s="8"/>
      <c r="D576" s="8"/>
      <c r="E576" s="8"/>
      <c r="F576" s="8"/>
      <c r="G576" s="8"/>
      <c r="H576" s="8"/>
      <c r="I576" s="8"/>
      <c r="J576" s="8"/>
      <c r="K576" s="8"/>
    </row>
    <row r="577" ht="15.75" customHeight="1">
      <c r="A577" s="8"/>
      <c r="B577" s="8"/>
      <c r="C577" s="8"/>
      <c r="D577" s="8"/>
      <c r="E577" s="8"/>
      <c r="F577" s="8"/>
      <c r="G577" s="8"/>
      <c r="H577" s="8"/>
      <c r="I577" s="8"/>
      <c r="J577" s="8"/>
      <c r="K577" s="8"/>
    </row>
    <row r="578" ht="15.75" customHeight="1">
      <c r="A578" s="8"/>
      <c r="B578" s="8"/>
      <c r="C578" s="8"/>
      <c r="D578" s="8"/>
      <c r="E578" s="8"/>
      <c r="F578" s="8"/>
      <c r="G578" s="8"/>
      <c r="H578" s="8"/>
      <c r="I578" s="8"/>
      <c r="J578" s="8"/>
      <c r="K578" s="8"/>
    </row>
    <row r="579" ht="15.75" customHeight="1">
      <c r="A579" s="8"/>
      <c r="B579" s="8"/>
      <c r="C579" s="8"/>
      <c r="D579" s="8"/>
      <c r="E579" s="8"/>
      <c r="F579" s="8"/>
      <c r="G579" s="8"/>
      <c r="H579" s="8"/>
      <c r="I579" s="8"/>
      <c r="J579" s="8"/>
      <c r="K579" s="8"/>
    </row>
    <row r="580" ht="15.75" customHeight="1">
      <c r="A580" s="8"/>
      <c r="B580" s="8"/>
      <c r="C580" s="8"/>
      <c r="D580" s="8"/>
      <c r="E580" s="8"/>
      <c r="F580" s="8"/>
      <c r="G580" s="8"/>
      <c r="H580" s="8"/>
      <c r="I580" s="8"/>
      <c r="J580" s="8"/>
      <c r="K580" s="8"/>
    </row>
    <row r="581" ht="15.75" customHeight="1">
      <c r="A581" s="8"/>
      <c r="B581" s="8"/>
      <c r="C581" s="8"/>
      <c r="D581" s="8"/>
      <c r="E581" s="8"/>
      <c r="F581" s="8"/>
      <c r="G581" s="8"/>
      <c r="H581" s="8"/>
      <c r="I581" s="8"/>
      <c r="J581" s="8"/>
      <c r="K581" s="8"/>
    </row>
    <row r="582" ht="15.75" customHeight="1">
      <c r="A582" s="8"/>
      <c r="B582" s="8"/>
      <c r="C582" s="8"/>
      <c r="D582" s="8"/>
      <c r="E582" s="8"/>
      <c r="F582" s="8"/>
      <c r="G582" s="8"/>
      <c r="H582" s="8"/>
      <c r="I582" s="8"/>
      <c r="J582" s="8"/>
      <c r="K582" s="8"/>
    </row>
    <row r="583" ht="15.75" customHeight="1">
      <c r="A583" s="8"/>
      <c r="B583" s="8"/>
      <c r="C583" s="8"/>
      <c r="D583" s="8"/>
      <c r="E583" s="8"/>
      <c r="F583" s="8"/>
      <c r="G583" s="8"/>
      <c r="H583" s="8"/>
      <c r="I583" s="8"/>
      <c r="J583" s="8"/>
      <c r="K583" s="8"/>
    </row>
    <row r="584" ht="15.75" customHeight="1">
      <c r="A584" s="8"/>
      <c r="B584" s="8"/>
      <c r="C584" s="8"/>
      <c r="D584" s="8"/>
      <c r="E584" s="8"/>
      <c r="F584" s="8"/>
      <c r="G584" s="8"/>
      <c r="H584" s="8"/>
      <c r="I584" s="8"/>
      <c r="J584" s="8"/>
      <c r="K584" s="8"/>
    </row>
    <row r="585" ht="15.75" customHeight="1">
      <c r="A585" s="8"/>
      <c r="B585" s="8"/>
      <c r="C585" s="8"/>
      <c r="D585" s="8"/>
      <c r="E585" s="8"/>
      <c r="F585" s="8"/>
      <c r="G585" s="8"/>
      <c r="H585" s="8"/>
      <c r="I585" s="8"/>
      <c r="J585" s="8"/>
      <c r="K585" s="8"/>
    </row>
    <row r="586" ht="15.75" customHeight="1">
      <c r="A586" s="8"/>
      <c r="B586" s="8"/>
      <c r="C586" s="8"/>
      <c r="D586" s="8"/>
      <c r="E586" s="8"/>
      <c r="F586" s="8"/>
      <c r="G586" s="8"/>
      <c r="H586" s="8"/>
      <c r="I586" s="8"/>
      <c r="J586" s="8"/>
      <c r="K586" s="8"/>
    </row>
    <row r="587" ht="15.75" customHeight="1">
      <c r="A587" s="8"/>
      <c r="B587" s="8"/>
      <c r="C587" s="8"/>
      <c r="D587" s="8"/>
      <c r="E587" s="8"/>
      <c r="F587" s="8"/>
      <c r="G587" s="8"/>
      <c r="H587" s="8"/>
      <c r="I587" s="8"/>
      <c r="J587" s="8"/>
      <c r="K587" s="8"/>
    </row>
    <row r="588" ht="15.75" customHeight="1">
      <c r="A588" s="8"/>
      <c r="B588" s="8"/>
      <c r="C588" s="8"/>
      <c r="D588" s="8"/>
      <c r="E588" s="8"/>
      <c r="F588" s="8"/>
      <c r="G588" s="8"/>
      <c r="H588" s="8"/>
      <c r="I588" s="8"/>
      <c r="J588" s="8"/>
      <c r="K588" s="8"/>
    </row>
    <row r="589" ht="15.75" customHeight="1">
      <c r="A589" s="8"/>
      <c r="B589" s="8"/>
      <c r="C589" s="8"/>
      <c r="D589" s="8"/>
      <c r="E589" s="8"/>
      <c r="F589" s="8"/>
      <c r="G589" s="8"/>
      <c r="H589" s="8"/>
      <c r="I589" s="8"/>
      <c r="J589" s="8"/>
      <c r="K589" s="8"/>
    </row>
    <row r="590" ht="15.75" customHeight="1">
      <c r="A590" s="8"/>
      <c r="B590" s="8"/>
      <c r="C590" s="8"/>
      <c r="D590" s="8"/>
      <c r="E590" s="8"/>
      <c r="F590" s="8"/>
      <c r="G590" s="8"/>
      <c r="H590" s="8"/>
      <c r="I590" s="8"/>
      <c r="J590" s="8"/>
      <c r="K590" s="8"/>
    </row>
    <row r="591" ht="15.75" customHeight="1">
      <c r="A591" s="8"/>
      <c r="B591" s="8"/>
      <c r="C591" s="8"/>
      <c r="D591" s="8"/>
      <c r="E591" s="8"/>
      <c r="F591" s="8"/>
      <c r="G591" s="8"/>
      <c r="H591" s="8"/>
      <c r="I591" s="8"/>
      <c r="J591" s="8"/>
      <c r="K591" s="8"/>
    </row>
    <row r="592" ht="15.75" customHeight="1">
      <c r="A592" s="8"/>
      <c r="B592" s="8"/>
      <c r="C592" s="8"/>
      <c r="D592" s="8"/>
      <c r="E592" s="8"/>
      <c r="F592" s="8"/>
      <c r="G592" s="8"/>
      <c r="H592" s="8"/>
      <c r="I592" s="8"/>
      <c r="J592" s="8"/>
      <c r="K592" s="8"/>
    </row>
    <row r="593" ht="15.75" customHeight="1">
      <c r="A593" s="8"/>
      <c r="B593" s="8"/>
      <c r="C593" s="8"/>
      <c r="D593" s="8"/>
      <c r="E593" s="8"/>
      <c r="F593" s="8"/>
      <c r="G593" s="8"/>
      <c r="H593" s="8"/>
      <c r="I593" s="8"/>
      <c r="J593" s="8"/>
      <c r="K593" s="8"/>
    </row>
    <row r="594" ht="15.75" customHeight="1">
      <c r="A594" s="8"/>
      <c r="B594" s="8"/>
      <c r="C594" s="8"/>
      <c r="D594" s="8"/>
      <c r="E594" s="8"/>
      <c r="F594" s="8"/>
      <c r="G594" s="8"/>
      <c r="H594" s="8"/>
      <c r="I594" s="8"/>
      <c r="J594" s="8"/>
      <c r="K594" s="8"/>
    </row>
    <row r="595" ht="15.75" customHeight="1">
      <c r="A595" s="8"/>
      <c r="B595" s="8"/>
      <c r="C595" s="8"/>
      <c r="D595" s="8"/>
      <c r="E595" s="8"/>
      <c r="F595" s="8"/>
      <c r="G595" s="8"/>
      <c r="H595" s="8"/>
      <c r="I595" s="8"/>
      <c r="J595" s="8"/>
      <c r="K595" s="8"/>
    </row>
    <row r="596" ht="15.75" customHeight="1">
      <c r="A596" s="8"/>
      <c r="B596" s="8"/>
      <c r="C596" s="8"/>
      <c r="D596" s="8"/>
      <c r="E596" s="8"/>
      <c r="F596" s="8"/>
      <c r="G596" s="8"/>
      <c r="H596" s="8"/>
      <c r="I596" s="8"/>
      <c r="J596" s="8"/>
      <c r="K596" s="8"/>
    </row>
    <row r="597" ht="15.75" customHeight="1">
      <c r="A597" s="8"/>
      <c r="B597" s="8"/>
      <c r="C597" s="8"/>
      <c r="D597" s="8"/>
      <c r="E597" s="8"/>
      <c r="F597" s="8"/>
      <c r="G597" s="8"/>
      <c r="H597" s="8"/>
      <c r="I597" s="8"/>
      <c r="J597" s="8"/>
      <c r="K597" s="8"/>
    </row>
    <row r="598" ht="15.75" customHeight="1">
      <c r="A598" s="8"/>
      <c r="B598" s="8"/>
      <c r="C598" s="8"/>
      <c r="D598" s="8"/>
      <c r="E598" s="8"/>
      <c r="F598" s="8"/>
      <c r="G598" s="8"/>
      <c r="H598" s="8"/>
      <c r="I598" s="8"/>
      <c r="J598" s="8"/>
      <c r="K598" s="8"/>
    </row>
    <row r="599" ht="15.75" customHeight="1">
      <c r="A599" s="8"/>
      <c r="B599" s="8"/>
      <c r="C599" s="8"/>
      <c r="D599" s="8"/>
      <c r="E599" s="8"/>
      <c r="F599" s="8"/>
      <c r="G599" s="8"/>
      <c r="H599" s="8"/>
      <c r="I599" s="8"/>
      <c r="J599" s="8"/>
      <c r="K599" s="8"/>
    </row>
    <row r="600" ht="15.75" customHeight="1">
      <c r="A600" s="8"/>
      <c r="B600" s="8"/>
      <c r="C600" s="8"/>
      <c r="D600" s="8"/>
      <c r="E600" s="8"/>
      <c r="F600" s="8"/>
      <c r="G600" s="8"/>
      <c r="H600" s="8"/>
      <c r="I600" s="8"/>
      <c r="J600" s="8"/>
      <c r="K600" s="8"/>
    </row>
    <row r="601" ht="15.75" customHeight="1">
      <c r="A601" s="8"/>
      <c r="B601" s="8"/>
      <c r="C601" s="8"/>
      <c r="D601" s="8"/>
      <c r="E601" s="8"/>
      <c r="F601" s="8"/>
      <c r="G601" s="8"/>
      <c r="H601" s="8"/>
      <c r="I601" s="8"/>
      <c r="J601" s="8"/>
      <c r="K601" s="8"/>
    </row>
    <row r="602" ht="15.75" customHeight="1">
      <c r="A602" s="8"/>
      <c r="B602" s="8"/>
      <c r="C602" s="8"/>
      <c r="D602" s="8"/>
      <c r="E602" s="8"/>
      <c r="F602" s="8"/>
      <c r="G602" s="8"/>
      <c r="H602" s="8"/>
      <c r="I602" s="8"/>
      <c r="J602" s="8"/>
      <c r="K602" s="8"/>
    </row>
    <row r="603" ht="15.75" customHeight="1">
      <c r="A603" s="8"/>
      <c r="B603" s="8"/>
      <c r="C603" s="8"/>
      <c r="D603" s="8"/>
      <c r="E603" s="8"/>
      <c r="F603" s="8"/>
      <c r="G603" s="8"/>
      <c r="H603" s="8"/>
      <c r="I603" s="8"/>
      <c r="J603" s="8"/>
      <c r="K603" s="8"/>
    </row>
    <row r="604" ht="15.75" customHeight="1">
      <c r="A604" s="8"/>
      <c r="B604" s="8"/>
      <c r="C604" s="8"/>
      <c r="D604" s="8"/>
      <c r="E604" s="8"/>
      <c r="F604" s="8"/>
      <c r="G604" s="8"/>
      <c r="H604" s="8"/>
      <c r="I604" s="8"/>
      <c r="J604" s="8"/>
      <c r="K604" s="8"/>
    </row>
    <row r="605" ht="15.75" customHeight="1">
      <c r="A605" s="8"/>
      <c r="B605" s="8"/>
      <c r="C605" s="8"/>
      <c r="D605" s="8"/>
      <c r="E605" s="8"/>
      <c r="F605" s="8"/>
      <c r="G605" s="8"/>
      <c r="H605" s="8"/>
      <c r="I605" s="8"/>
      <c r="J605" s="8"/>
      <c r="K605" s="8"/>
    </row>
    <row r="606" ht="15.75" customHeight="1">
      <c r="A606" s="8"/>
      <c r="B606" s="8"/>
      <c r="C606" s="8"/>
      <c r="D606" s="8"/>
      <c r="E606" s="8"/>
      <c r="F606" s="8"/>
      <c r="G606" s="8"/>
      <c r="H606" s="8"/>
      <c r="I606" s="8"/>
      <c r="J606" s="8"/>
      <c r="K606" s="8"/>
    </row>
    <row r="607" ht="15.75" customHeight="1">
      <c r="A607" s="8"/>
      <c r="B607" s="8"/>
      <c r="C607" s="8"/>
      <c r="D607" s="8"/>
      <c r="E607" s="8"/>
      <c r="F607" s="8"/>
      <c r="G607" s="8"/>
      <c r="H607" s="8"/>
      <c r="I607" s="8"/>
      <c r="J607" s="8"/>
      <c r="K607" s="8"/>
    </row>
    <row r="608" ht="15.75" customHeight="1">
      <c r="A608" s="8"/>
      <c r="B608" s="8"/>
      <c r="C608" s="8"/>
      <c r="D608" s="8"/>
      <c r="E608" s="8"/>
      <c r="F608" s="8"/>
      <c r="G608" s="8"/>
      <c r="H608" s="8"/>
      <c r="I608" s="8"/>
      <c r="J608" s="8"/>
      <c r="K608" s="8"/>
    </row>
    <row r="609" ht="15.75" customHeight="1">
      <c r="A609" s="8"/>
      <c r="B609" s="8"/>
      <c r="C609" s="8"/>
      <c r="D609" s="8"/>
      <c r="E609" s="8"/>
      <c r="F609" s="8"/>
      <c r="G609" s="8"/>
      <c r="H609" s="8"/>
      <c r="I609" s="8"/>
      <c r="J609" s="8"/>
      <c r="K609" s="8"/>
    </row>
    <row r="610" ht="15.75" customHeight="1">
      <c r="A610" s="8"/>
      <c r="B610" s="8"/>
      <c r="C610" s="8"/>
      <c r="D610" s="8"/>
      <c r="E610" s="8"/>
      <c r="F610" s="8"/>
      <c r="G610" s="8"/>
      <c r="H610" s="8"/>
      <c r="I610" s="8"/>
      <c r="J610" s="8"/>
      <c r="K610" s="8"/>
    </row>
    <row r="611" ht="15.75" customHeight="1">
      <c r="A611" s="8"/>
      <c r="B611" s="8"/>
      <c r="C611" s="8"/>
      <c r="D611" s="8"/>
      <c r="E611" s="8"/>
      <c r="F611" s="8"/>
      <c r="G611" s="8"/>
      <c r="H611" s="8"/>
      <c r="I611" s="8"/>
      <c r="J611" s="8"/>
      <c r="K611" s="8"/>
    </row>
    <row r="612" ht="15.75" customHeight="1">
      <c r="A612" s="8"/>
      <c r="B612" s="8"/>
      <c r="C612" s="8"/>
      <c r="D612" s="8"/>
      <c r="E612" s="8"/>
      <c r="F612" s="8"/>
      <c r="G612" s="8"/>
      <c r="H612" s="8"/>
      <c r="I612" s="8"/>
      <c r="J612" s="8"/>
      <c r="K612" s="8"/>
    </row>
    <row r="613" ht="15.75" customHeight="1">
      <c r="A613" s="8"/>
      <c r="B613" s="8"/>
      <c r="C613" s="8"/>
      <c r="D613" s="8"/>
      <c r="E613" s="8"/>
      <c r="F613" s="8"/>
      <c r="G613" s="8"/>
      <c r="H613" s="8"/>
      <c r="I613" s="8"/>
      <c r="J613" s="8"/>
      <c r="K613" s="8"/>
    </row>
    <row r="614" ht="15.75" customHeight="1">
      <c r="A614" s="8"/>
      <c r="B614" s="8"/>
      <c r="C614" s="8"/>
      <c r="D614" s="8"/>
      <c r="E614" s="8"/>
      <c r="F614" s="8"/>
      <c r="G614" s="8"/>
      <c r="H614" s="8"/>
      <c r="I614" s="8"/>
      <c r="J614" s="8"/>
      <c r="K614" s="8"/>
    </row>
    <row r="615" ht="15.75" customHeight="1">
      <c r="A615" s="8"/>
      <c r="B615" s="8"/>
      <c r="C615" s="8"/>
      <c r="D615" s="8"/>
      <c r="E615" s="8"/>
      <c r="F615" s="8"/>
      <c r="G615" s="8"/>
      <c r="H615" s="8"/>
      <c r="I615" s="8"/>
      <c r="J615" s="8"/>
      <c r="K615" s="8"/>
    </row>
    <row r="616" ht="15.75" customHeight="1">
      <c r="A616" s="8"/>
      <c r="B616" s="8"/>
      <c r="C616" s="8"/>
      <c r="D616" s="8"/>
      <c r="E616" s="8"/>
      <c r="F616" s="8"/>
      <c r="G616" s="8"/>
      <c r="H616" s="8"/>
      <c r="I616" s="8"/>
      <c r="J616" s="8"/>
      <c r="K616" s="8"/>
    </row>
    <row r="617" ht="15.75" customHeight="1">
      <c r="A617" s="8"/>
      <c r="B617" s="8"/>
      <c r="C617" s="8"/>
      <c r="D617" s="8"/>
      <c r="E617" s="8"/>
      <c r="F617" s="8"/>
      <c r="G617" s="8"/>
      <c r="H617" s="8"/>
      <c r="I617" s="8"/>
      <c r="J617" s="8"/>
      <c r="K617" s="8"/>
    </row>
    <row r="618" ht="15.75" customHeight="1">
      <c r="A618" s="8"/>
      <c r="B618" s="8"/>
      <c r="C618" s="8"/>
      <c r="D618" s="8"/>
      <c r="E618" s="8"/>
      <c r="F618" s="8"/>
      <c r="G618" s="8"/>
      <c r="H618" s="8"/>
      <c r="I618" s="8"/>
      <c r="J618" s="8"/>
      <c r="K618" s="8"/>
    </row>
    <row r="619" ht="15.75" customHeight="1">
      <c r="A619" s="8"/>
      <c r="B619" s="8"/>
      <c r="C619" s="8"/>
      <c r="D619" s="8"/>
      <c r="E619" s="8"/>
      <c r="F619" s="8"/>
      <c r="G619" s="8"/>
      <c r="H619" s="8"/>
      <c r="I619" s="8"/>
      <c r="J619" s="8"/>
      <c r="K619" s="8"/>
    </row>
    <row r="620" ht="15.75" customHeight="1">
      <c r="A620" s="8"/>
      <c r="B620" s="8"/>
      <c r="C620" s="8"/>
      <c r="D620" s="8"/>
      <c r="E620" s="8"/>
      <c r="F620" s="8"/>
      <c r="G620" s="8"/>
      <c r="H620" s="8"/>
      <c r="I620" s="8"/>
      <c r="J620" s="8"/>
      <c r="K620" s="8"/>
    </row>
    <row r="621" ht="15.75" customHeight="1">
      <c r="A621" s="8"/>
      <c r="B621" s="8"/>
      <c r="C621" s="8"/>
      <c r="D621" s="8"/>
      <c r="E621" s="8"/>
      <c r="F621" s="8"/>
      <c r="G621" s="8"/>
      <c r="H621" s="8"/>
      <c r="I621" s="8"/>
      <c r="J621" s="8"/>
      <c r="K621" s="8"/>
    </row>
    <row r="622" ht="15.75" customHeight="1">
      <c r="A622" s="8"/>
      <c r="B622" s="8"/>
      <c r="C622" s="8"/>
      <c r="D622" s="8"/>
      <c r="E622" s="8"/>
      <c r="F622" s="8"/>
      <c r="G622" s="8"/>
      <c r="H622" s="8"/>
      <c r="I622" s="8"/>
      <c r="J622" s="8"/>
      <c r="K622" s="8"/>
    </row>
    <row r="623" ht="15.75" customHeight="1">
      <c r="A623" s="8"/>
      <c r="B623" s="8"/>
      <c r="C623" s="8"/>
      <c r="D623" s="8"/>
      <c r="E623" s="8"/>
      <c r="F623" s="8"/>
      <c r="G623" s="8"/>
      <c r="H623" s="8"/>
      <c r="I623" s="8"/>
      <c r="J623" s="8"/>
      <c r="K623" s="8"/>
    </row>
    <row r="624" ht="15.75" customHeight="1">
      <c r="A624" s="8"/>
      <c r="B624" s="8"/>
      <c r="C624" s="8"/>
      <c r="D624" s="8"/>
      <c r="E624" s="8"/>
      <c r="F624" s="8"/>
      <c r="G624" s="8"/>
      <c r="H624" s="8"/>
      <c r="I624" s="8"/>
      <c r="J624" s="8"/>
      <c r="K624" s="8"/>
    </row>
    <row r="625" ht="15.75" customHeight="1">
      <c r="A625" s="8"/>
      <c r="B625" s="8"/>
      <c r="C625" s="8"/>
      <c r="D625" s="8"/>
      <c r="E625" s="8"/>
      <c r="F625" s="8"/>
      <c r="G625" s="8"/>
      <c r="H625" s="8"/>
      <c r="I625" s="8"/>
      <c r="J625" s="8"/>
      <c r="K625" s="8"/>
    </row>
    <row r="626" ht="15.75" customHeight="1">
      <c r="A626" s="8"/>
      <c r="B626" s="8"/>
      <c r="C626" s="8"/>
      <c r="D626" s="8"/>
      <c r="E626" s="8"/>
      <c r="F626" s="8"/>
      <c r="G626" s="8"/>
      <c r="H626" s="8"/>
      <c r="I626" s="8"/>
      <c r="J626" s="8"/>
      <c r="K626" s="8"/>
    </row>
    <row r="627" ht="15.75" customHeight="1">
      <c r="A627" s="8"/>
      <c r="B627" s="8"/>
      <c r="C627" s="8"/>
      <c r="D627" s="8"/>
      <c r="E627" s="8"/>
      <c r="F627" s="8"/>
      <c r="G627" s="8"/>
      <c r="H627" s="8"/>
      <c r="I627" s="8"/>
      <c r="J627" s="8"/>
      <c r="K627" s="8"/>
    </row>
    <row r="628" ht="15.75" customHeight="1">
      <c r="A628" s="8"/>
      <c r="B628" s="8"/>
      <c r="C628" s="8"/>
      <c r="D628" s="8"/>
      <c r="E628" s="8"/>
      <c r="F628" s="8"/>
      <c r="G628" s="8"/>
      <c r="H628" s="8"/>
      <c r="I628" s="8"/>
      <c r="J628" s="8"/>
      <c r="K628" s="8"/>
    </row>
    <row r="629" ht="15.75" customHeight="1">
      <c r="A629" s="8"/>
      <c r="B629" s="8"/>
      <c r="C629" s="8"/>
      <c r="D629" s="8"/>
      <c r="E629" s="8"/>
      <c r="F629" s="8"/>
      <c r="G629" s="8"/>
      <c r="H629" s="8"/>
      <c r="I629" s="8"/>
      <c r="J629" s="8"/>
      <c r="K629" s="8"/>
    </row>
    <row r="630" ht="15.75" customHeight="1">
      <c r="A630" s="8"/>
      <c r="B630" s="8"/>
      <c r="C630" s="8"/>
      <c r="D630" s="8"/>
      <c r="E630" s="8"/>
      <c r="F630" s="8"/>
      <c r="G630" s="8"/>
      <c r="H630" s="8"/>
      <c r="I630" s="8"/>
      <c r="J630" s="8"/>
      <c r="K630" s="8"/>
    </row>
    <row r="631" ht="15.75" customHeight="1">
      <c r="A631" s="8"/>
      <c r="B631" s="8"/>
      <c r="C631" s="8"/>
      <c r="D631" s="8"/>
      <c r="E631" s="8"/>
      <c r="F631" s="8"/>
      <c r="G631" s="8"/>
      <c r="H631" s="8"/>
      <c r="I631" s="8"/>
      <c r="J631" s="8"/>
      <c r="K631" s="8"/>
    </row>
    <row r="632" ht="15.75" customHeight="1">
      <c r="A632" s="8"/>
      <c r="B632" s="8"/>
      <c r="C632" s="8"/>
      <c r="D632" s="8"/>
      <c r="E632" s="8"/>
      <c r="F632" s="8"/>
      <c r="G632" s="8"/>
      <c r="H632" s="8"/>
      <c r="I632" s="8"/>
      <c r="J632" s="8"/>
      <c r="K632" s="8"/>
    </row>
    <row r="633" ht="15.75" customHeight="1">
      <c r="A633" s="8"/>
      <c r="B633" s="8"/>
      <c r="C633" s="8"/>
      <c r="D633" s="8"/>
      <c r="E633" s="8"/>
      <c r="F633" s="8"/>
      <c r="G633" s="8"/>
      <c r="H633" s="8"/>
      <c r="I633" s="8"/>
      <c r="J633" s="8"/>
      <c r="K633" s="8"/>
    </row>
    <row r="634" ht="15.75" customHeight="1">
      <c r="A634" s="8"/>
      <c r="B634" s="8"/>
      <c r="C634" s="8"/>
      <c r="D634" s="8"/>
      <c r="E634" s="8"/>
      <c r="F634" s="8"/>
      <c r="G634" s="8"/>
      <c r="H634" s="8"/>
      <c r="I634" s="8"/>
      <c r="J634" s="8"/>
      <c r="K634" s="8"/>
    </row>
    <row r="635" ht="15.75" customHeight="1">
      <c r="A635" s="8"/>
      <c r="B635" s="8"/>
      <c r="C635" s="8"/>
      <c r="D635" s="8"/>
      <c r="E635" s="8"/>
      <c r="F635" s="8"/>
      <c r="G635" s="8"/>
      <c r="H635" s="8"/>
      <c r="I635" s="8"/>
      <c r="J635" s="8"/>
      <c r="K635" s="8"/>
    </row>
    <row r="636" ht="15.75" customHeight="1">
      <c r="A636" s="8"/>
      <c r="B636" s="8"/>
      <c r="C636" s="8"/>
      <c r="D636" s="8"/>
      <c r="E636" s="8"/>
      <c r="F636" s="8"/>
      <c r="G636" s="8"/>
      <c r="H636" s="8"/>
      <c r="I636" s="8"/>
      <c r="J636" s="8"/>
      <c r="K636" s="8"/>
    </row>
    <row r="637" ht="15.75" customHeight="1">
      <c r="A637" s="8"/>
      <c r="B637" s="8"/>
      <c r="C637" s="8"/>
      <c r="D637" s="8"/>
      <c r="E637" s="8"/>
      <c r="F637" s="8"/>
      <c r="G637" s="8"/>
      <c r="H637" s="8"/>
      <c r="I637" s="8"/>
      <c r="J637" s="8"/>
      <c r="K637" s="8"/>
    </row>
    <row r="638" ht="15.75" customHeight="1">
      <c r="A638" s="8"/>
      <c r="B638" s="8"/>
      <c r="C638" s="8"/>
      <c r="D638" s="8"/>
      <c r="E638" s="8"/>
      <c r="F638" s="8"/>
      <c r="G638" s="8"/>
      <c r="H638" s="8"/>
      <c r="I638" s="8"/>
      <c r="J638" s="8"/>
      <c r="K638" s="8"/>
    </row>
    <row r="639" ht="15.75" customHeight="1">
      <c r="A639" s="8"/>
      <c r="B639" s="8"/>
      <c r="C639" s="8"/>
      <c r="D639" s="8"/>
      <c r="E639" s="8"/>
      <c r="F639" s="8"/>
      <c r="G639" s="8"/>
      <c r="H639" s="8"/>
      <c r="I639" s="8"/>
      <c r="J639" s="8"/>
      <c r="K639" s="8"/>
    </row>
    <row r="640" ht="15.75" customHeight="1">
      <c r="A640" s="8"/>
      <c r="B640" s="8"/>
      <c r="C640" s="8"/>
      <c r="D640" s="8"/>
      <c r="E640" s="8"/>
      <c r="F640" s="8"/>
      <c r="G640" s="8"/>
      <c r="H640" s="8"/>
      <c r="I640" s="8"/>
      <c r="J640" s="8"/>
      <c r="K640" s="8"/>
    </row>
    <row r="641" ht="15.75" customHeight="1">
      <c r="A641" s="8"/>
      <c r="B641" s="8"/>
      <c r="C641" s="8"/>
      <c r="D641" s="8"/>
      <c r="E641" s="8"/>
      <c r="F641" s="8"/>
      <c r="G641" s="8"/>
      <c r="H641" s="8"/>
      <c r="I641" s="8"/>
      <c r="J641" s="8"/>
      <c r="K641" s="8"/>
    </row>
    <row r="642" ht="15.75" customHeight="1">
      <c r="A642" s="8"/>
      <c r="B642" s="8"/>
      <c r="C642" s="8"/>
      <c r="D642" s="8"/>
      <c r="E642" s="8"/>
      <c r="F642" s="8"/>
      <c r="G642" s="8"/>
      <c r="H642" s="8"/>
      <c r="I642" s="8"/>
      <c r="J642" s="8"/>
      <c r="K642" s="8"/>
    </row>
    <row r="643" ht="15.75" customHeight="1">
      <c r="A643" s="8"/>
      <c r="B643" s="8"/>
      <c r="C643" s="8"/>
      <c r="D643" s="8"/>
      <c r="E643" s="8"/>
      <c r="F643" s="8"/>
      <c r="G643" s="8"/>
      <c r="H643" s="8"/>
      <c r="I643" s="8"/>
      <c r="J643" s="8"/>
      <c r="K643" s="8"/>
    </row>
    <row r="644" ht="15.75" customHeight="1">
      <c r="A644" s="8"/>
      <c r="B644" s="8"/>
      <c r="C644" s="8"/>
      <c r="D644" s="8"/>
      <c r="E644" s="8"/>
      <c r="F644" s="8"/>
      <c r="G644" s="8"/>
      <c r="H644" s="8"/>
      <c r="I644" s="8"/>
      <c r="J644" s="8"/>
      <c r="K644" s="8"/>
    </row>
    <row r="645" ht="15.75" customHeight="1">
      <c r="A645" s="8"/>
      <c r="B645" s="8"/>
      <c r="C645" s="8"/>
      <c r="D645" s="8"/>
      <c r="E645" s="8"/>
      <c r="F645" s="8"/>
      <c r="G645" s="8"/>
      <c r="H645" s="8"/>
      <c r="I645" s="8"/>
      <c r="J645" s="8"/>
      <c r="K645" s="8"/>
    </row>
    <row r="646" ht="15.75" customHeight="1">
      <c r="A646" s="8"/>
      <c r="B646" s="8"/>
      <c r="C646" s="8"/>
      <c r="D646" s="8"/>
      <c r="E646" s="8"/>
      <c r="F646" s="8"/>
      <c r="G646" s="8"/>
      <c r="H646" s="8"/>
      <c r="I646" s="8"/>
      <c r="J646" s="8"/>
      <c r="K646" s="8"/>
    </row>
    <row r="647" ht="15.75" customHeight="1">
      <c r="A647" s="8"/>
      <c r="B647" s="8"/>
      <c r="C647" s="8"/>
      <c r="D647" s="8"/>
      <c r="E647" s="8"/>
      <c r="F647" s="8"/>
      <c r="G647" s="8"/>
      <c r="H647" s="8"/>
      <c r="I647" s="8"/>
      <c r="J647" s="8"/>
      <c r="K647" s="8"/>
    </row>
    <row r="648" ht="15.75" customHeight="1">
      <c r="A648" s="8"/>
      <c r="B648" s="8"/>
      <c r="C648" s="8"/>
      <c r="D648" s="8"/>
      <c r="E648" s="8"/>
      <c r="F648" s="8"/>
      <c r="G648" s="8"/>
      <c r="H648" s="8"/>
      <c r="I648" s="8"/>
      <c r="J648" s="8"/>
      <c r="K648" s="8"/>
    </row>
    <row r="649" ht="15.75" customHeight="1">
      <c r="A649" s="8"/>
      <c r="B649" s="8"/>
      <c r="C649" s="8"/>
      <c r="D649" s="8"/>
      <c r="E649" s="8"/>
      <c r="F649" s="8"/>
      <c r="G649" s="8"/>
      <c r="H649" s="8"/>
      <c r="I649" s="8"/>
      <c r="J649" s="8"/>
      <c r="K649" s="8"/>
    </row>
    <row r="650" ht="15.75" customHeight="1">
      <c r="A650" s="8"/>
      <c r="B650" s="8"/>
      <c r="C650" s="8"/>
      <c r="D650" s="8"/>
      <c r="E650" s="8"/>
      <c r="F650" s="8"/>
      <c r="G650" s="8"/>
      <c r="H650" s="8"/>
      <c r="I650" s="8"/>
      <c r="J650" s="8"/>
      <c r="K650" s="8"/>
    </row>
    <row r="651" ht="15.75" customHeight="1">
      <c r="A651" s="8"/>
      <c r="B651" s="8"/>
      <c r="C651" s="8"/>
      <c r="D651" s="8"/>
      <c r="E651" s="8"/>
      <c r="F651" s="8"/>
      <c r="G651" s="8"/>
      <c r="H651" s="8"/>
      <c r="I651" s="8"/>
      <c r="J651" s="8"/>
      <c r="K651" s="8"/>
    </row>
    <row r="652" ht="15.75" customHeight="1">
      <c r="A652" s="8"/>
      <c r="B652" s="8"/>
      <c r="C652" s="8"/>
      <c r="D652" s="8"/>
      <c r="E652" s="8"/>
      <c r="F652" s="8"/>
      <c r="G652" s="8"/>
      <c r="H652" s="8"/>
      <c r="I652" s="8"/>
      <c r="J652" s="8"/>
      <c r="K652" s="8"/>
    </row>
    <row r="653" ht="15.75" customHeight="1">
      <c r="A653" s="8"/>
      <c r="B653" s="8"/>
      <c r="C653" s="8"/>
      <c r="D653" s="8"/>
      <c r="E653" s="8"/>
      <c r="F653" s="8"/>
      <c r="G653" s="8"/>
      <c r="H653" s="8"/>
      <c r="I653" s="8"/>
      <c r="J653" s="8"/>
      <c r="K653" s="8"/>
    </row>
    <row r="654" ht="15.75" customHeight="1">
      <c r="A654" s="8"/>
      <c r="B654" s="8"/>
      <c r="C654" s="8"/>
      <c r="D654" s="8"/>
      <c r="E654" s="8"/>
      <c r="F654" s="8"/>
      <c r="G654" s="8"/>
      <c r="H654" s="8"/>
      <c r="I654" s="8"/>
      <c r="J654" s="8"/>
      <c r="K654" s="8"/>
    </row>
    <row r="655" ht="15.75" customHeight="1">
      <c r="A655" s="8"/>
      <c r="B655" s="8"/>
      <c r="C655" s="8"/>
      <c r="D655" s="8"/>
      <c r="E655" s="8"/>
      <c r="F655" s="8"/>
      <c r="G655" s="8"/>
      <c r="H655" s="8"/>
      <c r="I655" s="8"/>
      <c r="J655" s="8"/>
      <c r="K655" s="8"/>
    </row>
    <row r="656" ht="15.75" customHeight="1">
      <c r="A656" s="8"/>
      <c r="B656" s="8"/>
      <c r="C656" s="8"/>
      <c r="D656" s="8"/>
      <c r="E656" s="8"/>
      <c r="F656" s="8"/>
      <c r="G656" s="8"/>
      <c r="H656" s="8"/>
      <c r="I656" s="8"/>
      <c r="J656" s="8"/>
      <c r="K656" s="8"/>
    </row>
    <row r="657" ht="15.75" customHeight="1">
      <c r="A657" s="8"/>
      <c r="B657" s="8"/>
      <c r="C657" s="8"/>
      <c r="D657" s="8"/>
      <c r="E657" s="8"/>
      <c r="F657" s="8"/>
      <c r="G657" s="8"/>
      <c r="H657" s="8"/>
      <c r="I657" s="8"/>
      <c r="J657" s="8"/>
      <c r="K657" s="8"/>
    </row>
    <row r="658" ht="15.75" customHeight="1">
      <c r="A658" s="8"/>
      <c r="B658" s="8"/>
      <c r="C658" s="8"/>
      <c r="D658" s="8"/>
      <c r="E658" s="8"/>
      <c r="F658" s="8"/>
      <c r="G658" s="8"/>
      <c r="H658" s="8"/>
      <c r="I658" s="8"/>
      <c r="J658" s="8"/>
      <c r="K658" s="8"/>
    </row>
    <row r="659" ht="15.75" customHeight="1">
      <c r="A659" s="8"/>
      <c r="B659" s="8"/>
      <c r="C659" s="8"/>
      <c r="D659" s="8"/>
      <c r="E659" s="8"/>
      <c r="F659" s="8"/>
      <c r="G659" s="8"/>
      <c r="H659" s="8"/>
      <c r="I659" s="8"/>
      <c r="J659" s="8"/>
      <c r="K659" s="8"/>
    </row>
    <row r="660" ht="15.75" customHeight="1">
      <c r="A660" s="8"/>
      <c r="B660" s="8"/>
      <c r="C660" s="8"/>
      <c r="D660" s="8"/>
      <c r="E660" s="8"/>
      <c r="F660" s="8"/>
      <c r="G660" s="8"/>
      <c r="H660" s="8"/>
      <c r="I660" s="8"/>
      <c r="J660" s="8"/>
      <c r="K660" s="8"/>
    </row>
    <row r="661" ht="15.75" customHeight="1">
      <c r="A661" s="8"/>
      <c r="B661" s="8"/>
      <c r="C661" s="8"/>
      <c r="D661" s="8"/>
      <c r="E661" s="8"/>
      <c r="F661" s="8"/>
      <c r="G661" s="8"/>
      <c r="H661" s="8"/>
      <c r="I661" s="8"/>
      <c r="J661" s="8"/>
      <c r="K661" s="8"/>
    </row>
    <row r="662" ht="15.75" customHeight="1">
      <c r="A662" s="8"/>
      <c r="B662" s="8"/>
      <c r="C662" s="8"/>
      <c r="D662" s="8"/>
      <c r="E662" s="8"/>
      <c r="F662" s="8"/>
      <c r="G662" s="8"/>
      <c r="H662" s="8"/>
      <c r="I662" s="8"/>
      <c r="J662" s="8"/>
      <c r="K662" s="8"/>
    </row>
    <row r="663" ht="15.75" customHeight="1">
      <c r="A663" s="8"/>
      <c r="B663" s="8"/>
      <c r="C663" s="8"/>
      <c r="D663" s="8"/>
      <c r="E663" s="8"/>
      <c r="F663" s="8"/>
      <c r="G663" s="8"/>
      <c r="H663" s="8"/>
      <c r="I663" s="8"/>
      <c r="J663" s="8"/>
      <c r="K663" s="8"/>
    </row>
    <row r="664" ht="15.75" customHeight="1">
      <c r="A664" s="8"/>
      <c r="B664" s="8"/>
      <c r="C664" s="8"/>
      <c r="D664" s="8"/>
      <c r="E664" s="8"/>
      <c r="F664" s="8"/>
      <c r="G664" s="8"/>
      <c r="H664" s="8"/>
      <c r="I664" s="8"/>
      <c r="J664" s="8"/>
      <c r="K664" s="8"/>
    </row>
    <row r="665" ht="15.75" customHeight="1">
      <c r="A665" s="8"/>
      <c r="B665" s="8"/>
      <c r="C665" s="8"/>
      <c r="D665" s="8"/>
      <c r="E665" s="8"/>
      <c r="F665" s="8"/>
      <c r="G665" s="8"/>
      <c r="H665" s="8"/>
      <c r="I665" s="8"/>
      <c r="J665" s="8"/>
      <c r="K665" s="8"/>
    </row>
    <row r="666" ht="15.75" customHeight="1">
      <c r="A666" s="8"/>
      <c r="B666" s="8"/>
      <c r="C666" s="8"/>
      <c r="D666" s="8"/>
      <c r="E666" s="8"/>
      <c r="F666" s="8"/>
      <c r="G666" s="8"/>
      <c r="H666" s="8"/>
      <c r="I666" s="8"/>
      <c r="J666" s="8"/>
      <c r="K666" s="8"/>
    </row>
    <row r="667" ht="15.75" customHeight="1">
      <c r="A667" s="8"/>
      <c r="B667" s="8"/>
      <c r="C667" s="8"/>
      <c r="D667" s="8"/>
      <c r="E667" s="8"/>
      <c r="F667" s="8"/>
      <c r="G667" s="8"/>
      <c r="H667" s="8"/>
      <c r="I667" s="8"/>
      <c r="J667" s="8"/>
      <c r="K667" s="8"/>
    </row>
    <row r="668" ht="15.75" customHeight="1">
      <c r="A668" s="8"/>
      <c r="B668" s="8"/>
      <c r="C668" s="8"/>
      <c r="D668" s="8"/>
      <c r="E668" s="8"/>
      <c r="F668" s="8"/>
      <c r="G668" s="8"/>
      <c r="H668" s="8"/>
      <c r="I668" s="8"/>
      <c r="J668" s="8"/>
      <c r="K668" s="8"/>
    </row>
    <row r="669" ht="15.75" customHeight="1">
      <c r="A669" s="8"/>
      <c r="B669" s="8"/>
      <c r="C669" s="8"/>
      <c r="D669" s="8"/>
      <c r="E669" s="8"/>
      <c r="F669" s="8"/>
      <c r="G669" s="8"/>
      <c r="H669" s="8"/>
      <c r="I669" s="8"/>
      <c r="J669" s="8"/>
      <c r="K669" s="8"/>
    </row>
    <row r="670" ht="15.75" customHeight="1">
      <c r="A670" s="8"/>
      <c r="B670" s="8"/>
      <c r="C670" s="8"/>
      <c r="D670" s="8"/>
      <c r="E670" s="8"/>
      <c r="F670" s="8"/>
      <c r="G670" s="8"/>
      <c r="H670" s="8"/>
      <c r="I670" s="8"/>
      <c r="J670" s="8"/>
      <c r="K670" s="8"/>
    </row>
    <row r="671" ht="15.75" customHeight="1">
      <c r="A671" s="8"/>
      <c r="B671" s="8"/>
      <c r="C671" s="8"/>
      <c r="D671" s="8"/>
      <c r="E671" s="8"/>
      <c r="F671" s="8"/>
      <c r="G671" s="8"/>
      <c r="H671" s="8"/>
      <c r="I671" s="8"/>
      <c r="J671" s="8"/>
      <c r="K671" s="8"/>
    </row>
    <row r="672" ht="15.75" customHeight="1">
      <c r="A672" s="8"/>
      <c r="B672" s="8"/>
      <c r="C672" s="8"/>
      <c r="D672" s="8"/>
      <c r="E672" s="8"/>
      <c r="F672" s="8"/>
      <c r="G672" s="8"/>
      <c r="H672" s="8"/>
      <c r="I672" s="8"/>
      <c r="J672" s="8"/>
      <c r="K672" s="8"/>
    </row>
    <row r="673" ht="15.75" customHeight="1">
      <c r="A673" s="8"/>
      <c r="B673" s="8"/>
      <c r="C673" s="8"/>
      <c r="D673" s="8"/>
      <c r="E673" s="8"/>
      <c r="F673" s="8"/>
      <c r="G673" s="8"/>
      <c r="H673" s="8"/>
      <c r="I673" s="8"/>
      <c r="J673" s="8"/>
      <c r="K673" s="8"/>
    </row>
    <row r="674" ht="15.75" customHeight="1">
      <c r="A674" s="8"/>
      <c r="B674" s="8"/>
      <c r="C674" s="8"/>
      <c r="D674" s="8"/>
      <c r="E674" s="8"/>
      <c r="F674" s="8"/>
      <c r="G674" s="8"/>
      <c r="H674" s="8"/>
      <c r="I674" s="8"/>
      <c r="J674" s="8"/>
      <c r="K674" s="8"/>
    </row>
    <row r="675" ht="15.75" customHeight="1">
      <c r="A675" s="8"/>
      <c r="B675" s="8"/>
      <c r="C675" s="8"/>
      <c r="D675" s="8"/>
      <c r="E675" s="8"/>
      <c r="F675" s="8"/>
      <c r="G675" s="8"/>
      <c r="H675" s="8"/>
      <c r="I675" s="8"/>
      <c r="J675" s="8"/>
      <c r="K675" s="8"/>
    </row>
    <row r="676" ht="15.75" customHeight="1">
      <c r="A676" s="8"/>
      <c r="B676" s="8"/>
      <c r="C676" s="8"/>
      <c r="D676" s="8"/>
      <c r="E676" s="8"/>
      <c r="F676" s="8"/>
      <c r="G676" s="8"/>
      <c r="H676" s="8"/>
      <c r="I676" s="8"/>
      <c r="J676" s="8"/>
      <c r="K676" s="8"/>
    </row>
    <row r="677" ht="15.75" customHeight="1">
      <c r="A677" s="8"/>
      <c r="B677" s="8"/>
      <c r="C677" s="8"/>
      <c r="D677" s="8"/>
      <c r="E677" s="8"/>
      <c r="F677" s="8"/>
      <c r="G677" s="8"/>
      <c r="H677" s="8"/>
      <c r="I677" s="8"/>
      <c r="J677" s="8"/>
      <c r="K677" s="8"/>
    </row>
    <row r="678" ht="15.75" customHeight="1">
      <c r="A678" s="8"/>
      <c r="B678" s="8"/>
      <c r="C678" s="8"/>
      <c r="D678" s="8"/>
      <c r="E678" s="8"/>
      <c r="F678" s="8"/>
      <c r="G678" s="8"/>
      <c r="H678" s="8"/>
      <c r="I678" s="8"/>
      <c r="J678" s="8"/>
      <c r="K678" s="8"/>
    </row>
    <row r="679" ht="15.75" customHeight="1">
      <c r="A679" s="8"/>
      <c r="B679" s="8"/>
      <c r="C679" s="8"/>
      <c r="D679" s="8"/>
      <c r="E679" s="8"/>
      <c r="F679" s="8"/>
      <c r="G679" s="8"/>
      <c r="H679" s="8"/>
      <c r="I679" s="8"/>
      <c r="J679" s="8"/>
      <c r="K679" s="8"/>
    </row>
    <row r="680" ht="15.75" customHeight="1">
      <c r="A680" s="8"/>
      <c r="B680" s="8"/>
      <c r="C680" s="8"/>
      <c r="D680" s="8"/>
      <c r="E680" s="8"/>
      <c r="F680" s="8"/>
      <c r="G680" s="8"/>
      <c r="H680" s="8"/>
      <c r="I680" s="8"/>
      <c r="J680" s="8"/>
      <c r="K680" s="8"/>
    </row>
    <row r="681" ht="15.75" customHeight="1">
      <c r="A681" s="8"/>
      <c r="B681" s="8"/>
      <c r="C681" s="8"/>
      <c r="D681" s="8"/>
      <c r="E681" s="8"/>
      <c r="F681" s="8"/>
      <c r="G681" s="8"/>
      <c r="H681" s="8"/>
      <c r="I681" s="8"/>
      <c r="J681" s="8"/>
      <c r="K681" s="8"/>
    </row>
    <row r="682" ht="15.75" customHeight="1">
      <c r="A682" s="8"/>
      <c r="B682" s="8"/>
      <c r="C682" s="8"/>
      <c r="D682" s="8"/>
      <c r="E682" s="8"/>
      <c r="F682" s="8"/>
      <c r="G682" s="8"/>
      <c r="H682" s="8"/>
      <c r="I682" s="8"/>
      <c r="J682" s="8"/>
      <c r="K682" s="8"/>
    </row>
    <row r="683" ht="15.75" customHeight="1">
      <c r="A683" s="8"/>
      <c r="B683" s="8"/>
      <c r="C683" s="8"/>
      <c r="D683" s="8"/>
      <c r="E683" s="8"/>
      <c r="F683" s="8"/>
      <c r="G683" s="8"/>
      <c r="H683" s="8"/>
      <c r="I683" s="8"/>
      <c r="J683" s="8"/>
      <c r="K683" s="8"/>
    </row>
    <row r="684" ht="15.75" customHeight="1">
      <c r="A684" s="8"/>
      <c r="B684" s="8"/>
      <c r="C684" s="8"/>
      <c r="D684" s="8"/>
      <c r="E684" s="8"/>
      <c r="F684" s="8"/>
      <c r="G684" s="8"/>
      <c r="H684" s="8"/>
      <c r="I684" s="8"/>
      <c r="J684" s="8"/>
      <c r="K684" s="8"/>
    </row>
    <row r="685" ht="15.75" customHeight="1">
      <c r="A685" s="8"/>
      <c r="B685" s="8"/>
      <c r="C685" s="8"/>
      <c r="D685" s="8"/>
      <c r="E685" s="8"/>
      <c r="F685" s="8"/>
      <c r="G685" s="8"/>
      <c r="H685" s="8"/>
      <c r="I685" s="8"/>
      <c r="J685" s="8"/>
      <c r="K685" s="8"/>
    </row>
    <row r="686" ht="15.75" customHeight="1">
      <c r="A686" s="8"/>
      <c r="B686" s="8"/>
      <c r="C686" s="8"/>
      <c r="D686" s="8"/>
      <c r="E686" s="8"/>
      <c r="F686" s="8"/>
      <c r="G686" s="8"/>
      <c r="H686" s="8"/>
      <c r="I686" s="8"/>
      <c r="J686" s="8"/>
      <c r="K686" s="8"/>
    </row>
    <row r="687" ht="15.75" customHeight="1">
      <c r="A687" s="8"/>
      <c r="B687" s="8"/>
      <c r="C687" s="8"/>
      <c r="D687" s="8"/>
      <c r="E687" s="8"/>
      <c r="F687" s="8"/>
      <c r="G687" s="8"/>
      <c r="H687" s="8"/>
      <c r="I687" s="8"/>
      <c r="J687" s="8"/>
      <c r="K687" s="8"/>
    </row>
    <row r="688" ht="15.75" customHeight="1">
      <c r="A688" s="8"/>
      <c r="B688" s="8"/>
      <c r="C688" s="8"/>
      <c r="D688" s="8"/>
      <c r="E688" s="8"/>
      <c r="F688" s="8"/>
      <c r="G688" s="8"/>
      <c r="H688" s="8"/>
      <c r="I688" s="8"/>
      <c r="J688" s="8"/>
      <c r="K688" s="8"/>
    </row>
    <row r="689" ht="15.75" customHeight="1">
      <c r="A689" s="8"/>
      <c r="B689" s="8"/>
      <c r="C689" s="8"/>
      <c r="D689" s="8"/>
      <c r="E689" s="8"/>
      <c r="F689" s="8"/>
      <c r="G689" s="8"/>
      <c r="H689" s="8"/>
      <c r="I689" s="8"/>
      <c r="J689" s="8"/>
      <c r="K689" s="8"/>
    </row>
    <row r="690" ht="15.75" customHeight="1">
      <c r="A690" s="8"/>
      <c r="B690" s="8"/>
      <c r="C690" s="8"/>
      <c r="D690" s="8"/>
      <c r="E690" s="8"/>
      <c r="F690" s="8"/>
      <c r="G690" s="8"/>
      <c r="H690" s="8"/>
      <c r="I690" s="8"/>
      <c r="J690" s="8"/>
      <c r="K690" s="8"/>
    </row>
    <row r="691" ht="15.75" customHeight="1">
      <c r="A691" s="8"/>
      <c r="B691" s="8"/>
      <c r="C691" s="8"/>
      <c r="D691" s="8"/>
      <c r="E691" s="8"/>
      <c r="F691" s="8"/>
      <c r="G691" s="8"/>
      <c r="H691" s="8"/>
      <c r="I691" s="8"/>
      <c r="J691" s="8"/>
      <c r="K691" s="8"/>
    </row>
    <row r="692" ht="15.75" customHeight="1">
      <c r="A692" s="8"/>
      <c r="B692" s="8"/>
      <c r="C692" s="8"/>
      <c r="D692" s="8"/>
      <c r="E692" s="8"/>
      <c r="F692" s="8"/>
      <c r="G692" s="8"/>
      <c r="H692" s="8"/>
      <c r="I692" s="8"/>
      <c r="J692" s="8"/>
      <c r="K692" s="8"/>
    </row>
    <row r="693" ht="15.75" customHeight="1">
      <c r="A693" s="8"/>
      <c r="B693" s="8"/>
      <c r="C693" s="8"/>
      <c r="D693" s="8"/>
      <c r="E693" s="8"/>
      <c r="F693" s="8"/>
      <c r="G693" s="8"/>
      <c r="H693" s="8"/>
      <c r="I693" s="8"/>
      <c r="J693" s="8"/>
      <c r="K693" s="8"/>
    </row>
    <row r="694" ht="15.75" customHeight="1">
      <c r="A694" s="8"/>
      <c r="B694" s="8"/>
      <c r="C694" s="8"/>
      <c r="D694" s="8"/>
      <c r="E694" s="8"/>
      <c r="F694" s="8"/>
      <c r="G694" s="8"/>
      <c r="H694" s="8"/>
      <c r="I694" s="8"/>
      <c r="J694" s="8"/>
      <c r="K694" s="8"/>
    </row>
    <row r="695" ht="15.75" customHeight="1">
      <c r="A695" s="8"/>
      <c r="B695" s="8"/>
      <c r="C695" s="8"/>
      <c r="D695" s="8"/>
      <c r="E695" s="8"/>
      <c r="F695" s="8"/>
      <c r="G695" s="8"/>
      <c r="H695" s="8"/>
      <c r="I695" s="8"/>
      <c r="J695" s="8"/>
      <c r="K695" s="8"/>
    </row>
    <row r="696" ht="15.75" customHeight="1">
      <c r="A696" s="8"/>
      <c r="B696" s="8"/>
      <c r="C696" s="8"/>
      <c r="D696" s="8"/>
      <c r="E696" s="8"/>
      <c r="F696" s="8"/>
      <c r="G696" s="8"/>
      <c r="H696" s="8"/>
      <c r="I696" s="8"/>
      <c r="J696" s="8"/>
      <c r="K696" s="8"/>
    </row>
    <row r="697" ht="15.75" customHeight="1">
      <c r="A697" s="8"/>
      <c r="B697" s="8"/>
      <c r="C697" s="8"/>
      <c r="D697" s="8"/>
      <c r="E697" s="8"/>
      <c r="F697" s="8"/>
      <c r="G697" s="8"/>
      <c r="H697" s="8"/>
      <c r="I697" s="8"/>
      <c r="J697" s="8"/>
      <c r="K697" s="8"/>
    </row>
    <row r="698" ht="15.75" customHeight="1">
      <c r="A698" s="8"/>
      <c r="B698" s="8"/>
      <c r="C698" s="8"/>
      <c r="D698" s="8"/>
      <c r="E698" s="8"/>
      <c r="F698" s="8"/>
      <c r="G698" s="8"/>
      <c r="H698" s="8"/>
      <c r="I698" s="8"/>
      <c r="J698" s="8"/>
      <c r="K698" s="8"/>
    </row>
    <row r="699" ht="15.75" customHeight="1">
      <c r="A699" s="8"/>
      <c r="B699" s="8"/>
      <c r="C699" s="8"/>
      <c r="D699" s="8"/>
      <c r="E699" s="8"/>
      <c r="F699" s="8"/>
      <c r="G699" s="8"/>
      <c r="H699" s="8"/>
      <c r="I699" s="8"/>
      <c r="J699" s="8"/>
      <c r="K699" s="8"/>
    </row>
    <row r="700" ht="15.75" customHeight="1">
      <c r="A700" s="8"/>
      <c r="B700" s="8"/>
      <c r="C700" s="8"/>
      <c r="D700" s="8"/>
      <c r="E700" s="8"/>
      <c r="F700" s="8"/>
      <c r="G700" s="8"/>
      <c r="H700" s="8"/>
      <c r="I700" s="8"/>
      <c r="J700" s="8"/>
      <c r="K700" s="8"/>
    </row>
    <row r="701" ht="15.75" customHeight="1">
      <c r="A701" s="8"/>
      <c r="B701" s="8"/>
      <c r="C701" s="8"/>
      <c r="D701" s="8"/>
      <c r="E701" s="8"/>
      <c r="F701" s="8"/>
      <c r="G701" s="8"/>
      <c r="H701" s="8"/>
      <c r="I701" s="8"/>
      <c r="J701" s="8"/>
      <c r="K701" s="8"/>
    </row>
    <row r="702" ht="15.75" customHeight="1">
      <c r="A702" s="8"/>
      <c r="B702" s="8"/>
      <c r="C702" s="8"/>
      <c r="D702" s="8"/>
      <c r="E702" s="8"/>
      <c r="F702" s="8"/>
      <c r="G702" s="8"/>
      <c r="H702" s="8"/>
      <c r="I702" s="8"/>
      <c r="J702" s="8"/>
      <c r="K702" s="8"/>
    </row>
    <row r="703" ht="15.75" customHeight="1">
      <c r="A703" s="8"/>
      <c r="B703" s="8"/>
      <c r="C703" s="8"/>
      <c r="D703" s="8"/>
      <c r="E703" s="8"/>
      <c r="F703" s="8"/>
      <c r="G703" s="8"/>
      <c r="H703" s="8"/>
      <c r="I703" s="8"/>
      <c r="J703" s="8"/>
      <c r="K703" s="8"/>
    </row>
    <row r="704" ht="15.75" customHeight="1">
      <c r="A704" s="8"/>
      <c r="B704" s="8"/>
      <c r="C704" s="8"/>
      <c r="D704" s="8"/>
      <c r="E704" s="8"/>
      <c r="F704" s="8"/>
      <c r="G704" s="8"/>
      <c r="H704" s="8"/>
      <c r="I704" s="8"/>
      <c r="J704" s="8"/>
      <c r="K704" s="8"/>
    </row>
    <row r="705" ht="15.75" customHeight="1">
      <c r="A705" s="8"/>
      <c r="B705" s="8"/>
      <c r="C705" s="8"/>
      <c r="D705" s="8"/>
      <c r="E705" s="8"/>
      <c r="F705" s="8"/>
      <c r="G705" s="8"/>
      <c r="H705" s="8"/>
      <c r="I705" s="8"/>
      <c r="J705" s="8"/>
      <c r="K705" s="8"/>
    </row>
    <row r="706" ht="15.75" customHeight="1">
      <c r="A706" s="8"/>
      <c r="B706" s="8"/>
      <c r="C706" s="8"/>
      <c r="D706" s="8"/>
      <c r="E706" s="8"/>
      <c r="F706" s="8"/>
      <c r="G706" s="8"/>
      <c r="H706" s="8"/>
      <c r="I706" s="8"/>
      <c r="J706" s="8"/>
      <c r="K706" s="8"/>
    </row>
    <row r="707" ht="15.75" customHeight="1">
      <c r="A707" s="8"/>
      <c r="B707" s="8"/>
      <c r="C707" s="8"/>
      <c r="D707" s="8"/>
      <c r="E707" s="8"/>
      <c r="F707" s="8"/>
      <c r="G707" s="8"/>
      <c r="H707" s="8"/>
      <c r="I707" s="8"/>
      <c r="J707" s="8"/>
      <c r="K707" s="8"/>
    </row>
    <row r="708" ht="15.75" customHeight="1">
      <c r="A708" s="8"/>
      <c r="B708" s="8"/>
      <c r="C708" s="8"/>
      <c r="D708" s="8"/>
      <c r="E708" s="8"/>
      <c r="F708" s="8"/>
      <c r="G708" s="8"/>
      <c r="H708" s="8"/>
      <c r="I708" s="8"/>
      <c r="J708" s="8"/>
      <c r="K708" s="8"/>
    </row>
    <row r="709" ht="15.75" customHeight="1">
      <c r="A709" s="8"/>
      <c r="B709" s="8"/>
      <c r="C709" s="8"/>
      <c r="D709" s="8"/>
      <c r="E709" s="8"/>
      <c r="F709" s="8"/>
      <c r="G709" s="8"/>
      <c r="H709" s="8"/>
      <c r="I709" s="8"/>
      <c r="J709" s="8"/>
      <c r="K709" s="8"/>
    </row>
    <row r="710" ht="15.75" customHeight="1">
      <c r="A710" s="8"/>
      <c r="B710" s="8"/>
      <c r="C710" s="8"/>
      <c r="D710" s="8"/>
      <c r="E710" s="8"/>
      <c r="F710" s="8"/>
      <c r="G710" s="8"/>
      <c r="H710" s="8"/>
      <c r="I710" s="8"/>
      <c r="J710" s="8"/>
      <c r="K710" s="8"/>
    </row>
    <row r="711" ht="15.75" customHeight="1">
      <c r="A711" s="8"/>
      <c r="B711" s="8"/>
      <c r="C711" s="8"/>
      <c r="D711" s="8"/>
      <c r="E711" s="8"/>
      <c r="F711" s="8"/>
      <c r="G711" s="8"/>
      <c r="H711" s="8"/>
      <c r="I711" s="8"/>
      <c r="J711" s="8"/>
      <c r="K711" s="8"/>
    </row>
    <row r="712" ht="15.75" customHeight="1">
      <c r="A712" s="8"/>
      <c r="B712" s="8"/>
      <c r="C712" s="8"/>
      <c r="D712" s="8"/>
      <c r="E712" s="8"/>
      <c r="F712" s="8"/>
      <c r="G712" s="8"/>
      <c r="H712" s="8"/>
      <c r="I712" s="8"/>
      <c r="J712" s="8"/>
      <c r="K712" s="8"/>
    </row>
    <row r="713" ht="15.75" customHeight="1">
      <c r="A713" s="8"/>
      <c r="B713" s="8"/>
      <c r="C713" s="8"/>
      <c r="D713" s="8"/>
      <c r="E713" s="8"/>
      <c r="F713" s="8"/>
      <c r="G713" s="8"/>
      <c r="H713" s="8"/>
      <c r="I713" s="8"/>
      <c r="J713" s="8"/>
      <c r="K713" s="8"/>
    </row>
    <row r="714" ht="15.75" customHeight="1">
      <c r="A714" s="8"/>
      <c r="B714" s="8"/>
      <c r="C714" s="8"/>
      <c r="D714" s="8"/>
      <c r="E714" s="8"/>
      <c r="F714" s="8"/>
      <c r="G714" s="8"/>
      <c r="H714" s="8"/>
      <c r="I714" s="8"/>
      <c r="J714" s="8"/>
      <c r="K714" s="8"/>
    </row>
    <row r="715" ht="15.75" customHeight="1">
      <c r="A715" s="8"/>
      <c r="B715" s="8"/>
      <c r="C715" s="8"/>
      <c r="D715" s="8"/>
      <c r="E715" s="8"/>
      <c r="F715" s="8"/>
      <c r="G715" s="8"/>
      <c r="H715" s="8"/>
      <c r="I715" s="8"/>
      <c r="J715" s="8"/>
      <c r="K715" s="8"/>
    </row>
    <row r="716" ht="15.75" customHeight="1">
      <c r="A716" s="8"/>
      <c r="B716" s="8"/>
      <c r="C716" s="8"/>
      <c r="D716" s="8"/>
      <c r="E716" s="8"/>
      <c r="F716" s="8"/>
      <c r="G716" s="8"/>
      <c r="H716" s="8"/>
      <c r="I716" s="8"/>
      <c r="J716" s="8"/>
      <c r="K716" s="8"/>
    </row>
    <row r="717" ht="15.75" customHeight="1">
      <c r="A717" s="8"/>
      <c r="B717" s="8"/>
      <c r="C717" s="8"/>
      <c r="D717" s="8"/>
      <c r="E717" s="8"/>
      <c r="F717" s="8"/>
      <c r="G717" s="8"/>
      <c r="H717" s="8"/>
      <c r="I717" s="8"/>
      <c r="J717" s="8"/>
      <c r="K717" s="8"/>
    </row>
    <row r="718" ht="15.75" customHeight="1">
      <c r="A718" s="8"/>
      <c r="B718" s="8"/>
      <c r="C718" s="8"/>
      <c r="D718" s="8"/>
      <c r="E718" s="8"/>
      <c r="F718" s="8"/>
      <c r="G718" s="8"/>
      <c r="H718" s="8"/>
      <c r="I718" s="8"/>
      <c r="J718" s="8"/>
      <c r="K718" s="8"/>
    </row>
    <row r="719" ht="15.75" customHeight="1">
      <c r="A719" s="8"/>
      <c r="B719" s="8"/>
      <c r="C719" s="8"/>
      <c r="D719" s="8"/>
      <c r="E719" s="8"/>
      <c r="F719" s="8"/>
      <c r="G719" s="8"/>
      <c r="H719" s="8"/>
      <c r="I719" s="8"/>
      <c r="J719" s="8"/>
      <c r="K719" s="8"/>
    </row>
    <row r="720" ht="15.75" customHeight="1">
      <c r="A720" s="8"/>
      <c r="B720" s="8"/>
      <c r="C720" s="8"/>
      <c r="D720" s="8"/>
      <c r="E720" s="8"/>
      <c r="F720" s="8"/>
      <c r="G720" s="8"/>
      <c r="H720" s="8"/>
      <c r="I720" s="8"/>
      <c r="J720" s="8"/>
      <c r="K720" s="8"/>
    </row>
    <row r="721" ht="15.75" customHeight="1">
      <c r="A721" s="8"/>
      <c r="B721" s="8"/>
      <c r="C721" s="8"/>
      <c r="D721" s="8"/>
      <c r="E721" s="8"/>
      <c r="F721" s="8"/>
      <c r="G721" s="8"/>
      <c r="H721" s="8"/>
      <c r="I721" s="8"/>
      <c r="J721" s="8"/>
      <c r="K721" s="8"/>
    </row>
    <row r="722" ht="15.75" customHeight="1">
      <c r="A722" s="8"/>
      <c r="B722" s="8"/>
      <c r="C722" s="8"/>
      <c r="D722" s="8"/>
      <c r="E722" s="8"/>
      <c r="F722" s="8"/>
      <c r="G722" s="8"/>
      <c r="H722" s="8"/>
      <c r="I722" s="8"/>
      <c r="J722" s="8"/>
      <c r="K722" s="8"/>
    </row>
    <row r="723" ht="15.75" customHeight="1">
      <c r="A723" s="8"/>
      <c r="B723" s="8"/>
      <c r="C723" s="8"/>
      <c r="D723" s="8"/>
      <c r="E723" s="8"/>
      <c r="F723" s="8"/>
      <c r="G723" s="8"/>
      <c r="H723" s="8"/>
      <c r="I723" s="8"/>
      <c r="J723" s="8"/>
      <c r="K723" s="8"/>
    </row>
    <row r="724" ht="15.75" customHeight="1">
      <c r="A724" s="8"/>
      <c r="B724" s="8"/>
      <c r="C724" s="8"/>
      <c r="D724" s="8"/>
      <c r="E724" s="8"/>
      <c r="F724" s="8"/>
      <c r="G724" s="8"/>
      <c r="H724" s="8"/>
      <c r="I724" s="8"/>
      <c r="J724" s="8"/>
      <c r="K724" s="8"/>
    </row>
    <row r="725" ht="15.75" customHeight="1">
      <c r="A725" s="8"/>
      <c r="B725" s="8"/>
      <c r="C725" s="8"/>
      <c r="D725" s="8"/>
      <c r="E725" s="8"/>
      <c r="F725" s="8"/>
      <c r="G725" s="8"/>
      <c r="H725" s="8"/>
      <c r="I725" s="8"/>
      <c r="J725" s="8"/>
      <c r="K725" s="8"/>
    </row>
    <row r="726" ht="15.75" customHeight="1">
      <c r="A726" s="8"/>
      <c r="B726" s="8"/>
      <c r="C726" s="8"/>
      <c r="D726" s="8"/>
      <c r="E726" s="8"/>
      <c r="F726" s="8"/>
      <c r="G726" s="8"/>
      <c r="H726" s="8"/>
      <c r="I726" s="8"/>
      <c r="J726" s="8"/>
      <c r="K726" s="8"/>
    </row>
    <row r="727" ht="15.75" customHeight="1">
      <c r="A727" s="8"/>
      <c r="B727" s="8"/>
      <c r="C727" s="8"/>
      <c r="D727" s="8"/>
      <c r="E727" s="8"/>
      <c r="F727" s="8"/>
      <c r="G727" s="8"/>
      <c r="H727" s="8"/>
      <c r="I727" s="8"/>
      <c r="J727" s="8"/>
      <c r="K727" s="8"/>
    </row>
    <row r="728" ht="15.75" customHeight="1">
      <c r="A728" s="8"/>
      <c r="B728" s="8"/>
      <c r="C728" s="8"/>
      <c r="D728" s="8"/>
      <c r="E728" s="8"/>
      <c r="F728" s="8"/>
      <c r="G728" s="8"/>
      <c r="H728" s="8"/>
      <c r="I728" s="8"/>
      <c r="J728" s="8"/>
      <c r="K728" s="8"/>
    </row>
    <row r="729" ht="15.75" customHeight="1">
      <c r="A729" s="8"/>
      <c r="B729" s="8"/>
      <c r="C729" s="8"/>
      <c r="D729" s="8"/>
      <c r="E729" s="8"/>
      <c r="F729" s="8"/>
      <c r="G729" s="8"/>
      <c r="H729" s="8"/>
      <c r="I729" s="8"/>
      <c r="J729" s="8"/>
      <c r="K729" s="8"/>
    </row>
    <row r="730" ht="15.75" customHeight="1">
      <c r="A730" s="8"/>
      <c r="B730" s="8"/>
      <c r="C730" s="8"/>
      <c r="D730" s="8"/>
      <c r="E730" s="8"/>
      <c r="F730" s="8"/>
      <c r="G730" s="8"/>
      <c r="H730" s="8"/>
      <c r="I730" s="8"/>
      <c r="J730" s="8"/>
      <c r="K730" s="8"/>
    </row>
    <row r="731" ht="15.75" customHeight="1">
      <c r="A731" s="8"/>
      <c r="B731" s="8"/>
      <c r="C731" s="8"/>
      <c r="D731" s="8"/>
      <c r="E731" s="8"/>
      <c r="F731" s="8"/>
      <c r="G731" s="8"/>
      <c r="H731" s="8"/>
      <c r="I731" s="8"/>
      <c r="J731" s="8"/>
      <c r="K731" s="8"/>
    </row>
    <row r="732" ht="15.75" customHeight="1">
      <c r="A732" s="8"/>
      <c r="B732" s="8"/>
      <c r="C732" s="8"/>
      <c r="D732" s="8"/>
      <c r="E732" s="8"/>
      <c r="F732" s="8"/>
      <c r="G732" s="8"/>
      <c r="H732" s="8"/>
      <c r="I732" s="8"/>
      <c r="J732" s="8"/>
      <c r="K732" s="8"/>
    </row>
    <row r="733" ht="15.75" customHeight="1">
      <c r="A733" s="8"/>
      <c r="B733" s="8"/>
      <c r="C733" s="8"/>
      <c r="D733" s="8"/>
      <c r="E733" s="8"/>
      <c r="F733" s="8"/>
      <c r="G733" s="8"/>
      <c r="H733" s="8"/>
      <c r="I733" s="8"/>
      <c r="J733" s="8"/>
      <c r="K733" s="8"/>
    </row>
    <row r="734" ht="15.75" customHeight="1">
      <c r="A734" s="8"/>
      <c r="B734" s="8"/>
      <c r="C734" s="8"/>
      <c r="D734" s="8"/>
      <c r="E734" s="8"/>
      <c r="F734" s="8"/>
      <c r="G734" s="8"/>
      <c r="H734" s="8"/>
      <c r="I734" s="8"/>
      <c r="J734" s="8"/>
      <c r="K734" s="8"/>
    </row>
    <row r="735" ht="15.75" customHeight="1">
      <c r="A735" s="8"/>
      <c r="B735" s="8"/>
      <c r="C735" s="8"/>
      <c r="D735" s="8"/>
      <c r="E735" s="8"/>
      <c r="F735" s="8"/>
      <c r="G735" s="8"/>
      <c r="H735" s="8"/>
      <c r="I735" s="8"/>
      <c r="J735" s="8"/>
      <c r="K735" s="8"/>
    </row>
    <row r="736" ht="15.75" customHeight="1">
      <c r="A736" s="8"/>
      <c r="B736" s="8"/>
      <c r="C736" s="8"/>
      <c r="D736" s="8"/>
      <c r="E736" s="8"/>
      <c r="F736" s="8"/>
      <c r="G736" s="8"/>
      <c r="H736" s="8"/>
      <c r="I736" s="8"/>
      <c r="J736" s="8"/>
      <c r="K736" s="8"/>
    </row>
    <row r="737" ht="15.75" customHeight="1">
      <c r="A737" s="8"/>
      <c r="B737" s="8"/>
      <c r="C737" s="8"/>
      <c r="D737" s="8"/>
      <c r="E737" s="8"/>
      <c r="F737" s="8"/>
      <c r="G737" s="8"/>
      <c r="H737" s="8"/>
      <c r="I737" s="8"/>
      <c r="J737" s="8"/>
      <c r="K737" s="8"/>
    </row>
    <row r="738" ht="15.75" customHeight="1">
      <c r="A738" s="8"/>
      <c r="B738" s="8"/>
      <c r="C738" s="8"/>
      <c r="D738" s="8"/>
      <c r="E738" s="8"/>
      <c r="F738" s="8"/>
      <c r="G738" s="8"/>
      <c r="H738" s="8"/>
      <c r="I738" s="8"/>
      <c r="J738" s="8"/>
      <c r="K738" s="8"/>
    </row>
    <row r="739" ht="15.75" customHeight="1">
      <c r="A739" s="8"/>
      <c r="B739" s="8"/>
      <c r="C739" s="8"/>
      <c r="D739" s="8"/>
      <c r="E739" s="8"/>
      <c r="F739" s="8"/>
      <c r="G739" s="8"/>
      <c r="H739" s="8"/>
      <c r="I739" s="8"/>
      <c r="J739" s="8"/>
      <c r="K739" s="8"/>
    </row>
    <row r="740" ht="15.75" customHeight="1">
      <c r="A740" s="8"/>
      <c r="B740" s="8"/>
      <c r="C740" s="8"/>
      <c r="D740" s="8"/>
      <c r="E740" s="8"/>
      <c r="F740" s="8"/>
      <c r="G740" s="8"/>
      <c r="H740" s="8"/>
      <c r="I740" s="8"/>
      <c r="J740" s="8"/>
      <c r="K740" s="8"/>
    </row>
    <row r="741" ht="15.75" customHeight="1">
      <c r="A741" s="8"/>
      <c r="B741" s="8"/>
      <c r="C741" s="8"/>
      <c r="D741" s="8"/>
      <c r="E741" s="8"/>
      <c r="F741" s="8"/>
      <c r="G741" s="8"/>
      <c r="H741" s="8"/>
      <c r="I741" s="8"/>
      <c r="J741" s="8"/>
      <c r="K741" s="8"/>
    </row>
    <row r="742" ht="15.75" customHeight="1">
      <c r="A742" s="8"/>
      <c r="B742" s="8"/>
      <c r="C742" s="8"/>
      <c r="D742" s="8"/>
      <c r="E742" s="8"/>
      <c r="F742" s="8"/>
      <c r="G742" s="8"/>
      <c r="H742" s="8"/>
      <c r="I742" s="8"/>
      <c r="J742" s="8"/>
      <c r="K742" s="8"/>
    </row>
    <row r="743" ht="15.75" customHeight="1">
      <c r="A743" s="8"/>
      <c r="B743" s="8"/>
      <c r="C743" s="8"/>
      <c r="D743" s="8"/>
      <c r="E743" s="8"/>
      <c r="F743" s="8"/>
      <c r="G743" s="8"/>
      <c r="H743" s="8"/>
      <c r="I743" s="8"/>
      <c r="J743" s="8"/>
      <c r="K743" s="8"/>
    </row>
    <row r="744" ht="15.75" customHeight="1">
      <c r="A744" s="8"/>
      <c r="B744" s="8"/>
      <c r="C744" s="8"/>
      <c r="D744" s="8"/>
      <c r="E744" s="8"/>
      <c r="F744" s="8"/>
      <c r="G744" s="8"/>
      <c r="H744" s="8"/>
      <c r="I744" s="8"/>
      <c r="J744" s="8"/>
      <c r="K744" s="8"/>
    </row>
    <row r="745" ht="15.75" customHeight="1">
      <c r="A745" s="8"/>
      <c r="B745" s="8"/>
      <c r="C745" s="8"/>
      <c r="D745" s="8"/>
      <c r="E745" s="8"/>
      <c r="F745" s="8"/>
      <c r="G745" s="8"/>
      <c r="H745" s="8"/>
      <c r="I745" s="8"/>
      <c r="J745" s="8"/>
      <c r="K745" s="8"/>
    </row>
    <row r="746" ht="15.75" customHeight="1">
      <c r="A746" s="8"/>
      <c r="B746" s="8"/>
      <c r="C746" s="8"/>
      <c r="D746" s="8"/>
      <c r="E746" s="8"/>
      <c r="F746" s="8"/>
      <c r="G746" s="8"/>
      <c r="H746" s="8"/>
      <c r="I746" s="8"/>
      <c r="J746" s="8"/>
      <c r="K746" s="8"/>
    </row>
    <row r="747" ht="15.75" customHeight="1">
      <c r="A747" s="8"/>
      <c r="B747" s="8"/>
      <c r="C747" s="8"/>
      <c r="D747" s="8"/>
      <c r="E747" s="8"/>
      <c r="F747" s="8"/>
      <c r="G747" s="8"/>
      <c r="H747" s="8"/>
      <c r="I747" s="8"/>
      <c r="J747" s="8"/>
      <c r="K747" s="8"/>
    </row>
    <row r="748" ht="15.75" customHeight="1">
      <c r="A748" s="8"/>
      <c r="B748" s="8"/>
      <c r="C748" s="8"/>
      <c r="D748" s="8"/>
      <c r="E748" s="8"/>
      <c r="F748" s="8"/>
      <c r="G748" s="8"/>
      <c r="H748" s="8"/>
      <c r="I748" s="8"/>
      <c r="J748" s="8"/>
      <c r="K748" s="8"/>
    </row>
    <row r="749" ht="15.75" customHeight="1">
      <c r="A749" s="8"/>
      <c r="B749" s="8"/>
      <c r="C749" s="8"/>
      <c r="D749" s="8"/>
      <c r="E749" s="8"/>
      <c r="F749" s="8"/>
      <c r="G749" s="8"/>
      <c r="H749" s="8"/>
      <c r="I749" s="8"/>
      <c r="J749" s="8"/>
      <c r="K749" s="8"/>
    </row>
    <row r="750" ht="15.75" customHeight="1">
      <c r="A750" s="8"/>
      <c r="B750" s="8"/>
      <c r="C750" s="8"/>
      <c r="D750" s="8"/>
      <c r="E750" s="8"/>
      <c r="F750" s="8"/>
      <c r="G750" s="8"/>
      <c r="H750" s="8"/>
      <c r="I750" s="8"/>
      <c r="J750" s="8"/>
      <c r="K750" s="8"/>
    </row>
    <row r="751" ht="15.75" customHeight="1">
      <c r="A751" s="8"/>
      <c r="B751" s="8"/>
      <c r="C751" s="8"/>
      <c r="D751" s="8"/>
      <c r="E751" s="8"/>
      <c r="F751" s="8"/>
      <c r="G751" s="8"/>
      <c r="H751" s="8"/>
      <c r="I751" s="8"/>
      <c r="J751" s="8"/>
      <c r="K751" s="8"/>
    </row>
    <row r="752" ht="15.75" customHeight="1">
      <c r="A752" s="8"/>
      <c r="B752" s="8"/>
      <c r="C752" s="8"/>
      <c r="D752" s="8"/>
      <c r="E752" s="8"/>
      <c r="F752" s="8"/>
      <c r="G752" s="8"/>
      <c r="H752" s="8"/>
      <c r="I752" s="8"/>
      <c r="J752" s="8"/>
      <c r="K752" s="8"/>
    </row>
    <row r="753" ht="15.75" customHeight="1">
      <c r="A753" s="8"/>
      <c r="B753" s="8"/>
      <c r="C753" s="8"/>
      <c r="D753" s="8"/>
      <c r="E753" s="8"/>
      <c r="F753" s="8"/>
      <c r="G753" s="8"/>
      <c r="H753" s="8"/>
      <c r="I753" s="8"/>
      <c r="J753" s="8"/>
      <c r="K753" s="8"/>
    </row>
    <row r="754" ht="15.75" customHeight="1">
      <c r="A754" s="8"/>
      <c r="B754" s="8"/>
      <c r="C754" s="8"/>
      <c r="D754" s="8"/>
      <c r="E754" s="8"/>
      <c r="F754" s="8"/>
      <c r="G754" s="8"/>
      <c r="H754" s="8"/>
      <c r="I754" s="8"/>
      <c r="J754" s="8"/>
      <c r="K754" s="8"/>
    </row>
    <row r="755" ht="15.75" customHeight="1">
      <c r="A755" s="8"/>
      <c r="B755" s="8"/>
      <c r="C755" s="8"/>
      <c r="D755" s="8"/>
      <c r="E755" s="8"/>
      <c r="F755" s="8"/>
      <c r="G755" s="8"/>
      <c r="H755" s="8"/>
      <c r="I755" s="8"/>
      <c r="J755" s="8"/>
      <c r="K755" s="8"/>
    </row>
    <row r="756" ht="15.75" customHeight="1">
      <c r="A756" s="8"/>
      <c r="B756" s="8"/>
      <c r="C756" s="8"/>
      <c r="D756" s="8"/>
      <c r="E756" s="8"/>
      <c r="F756" s="8"/>
      <c r="G756" s="8"/>
      <c r="H756" s="8"/>
      <c r="I756" s="8"/>
      <c r="J756" s="8"/>
      <c r="K756" s="8"/>
    </row>
    <row r="757" ht="15.75" customHeight="1">
      <c r="A757" s="8"/>
      <c r="B757" s="8"/>
      <c r="C757" s="8"/>
      <c r="D757" s="8"/>
      <c r="E757" s="8"/>
      <c r="F757" s="8"/>
      <c r="G757" s="8"/>
      <c r="H757" s="8"/>
      <c r="I757" s="8"/>
      <c r="J757" s="8"/>
      <c r="K757" s="8"/>
    </row>
    <row r="758" ht="15.75" customHeight="1">
      <c r="A758" s="8"/>
      <c r="B758" s="8"/>
      <c r="C758" s="8"/>
      <c r="D758" s="8"/>
      <c r="E758" s="8"/>
      <c r="F758" s="8"/>
      <c r="G758" s="8"/>
      <c r="H758" s="8"/>
      <c r="I758" s="8"/>
      <c r="J758" s="8"/>
      <c r="K758" s="8"/>
    </row>
    <row r="759" ht="15.75" customHeight="1">
      <c r="A759" s="8"/>
      <c r="B759" s="8"/>
      <c r="C759" s="8"/>
      <c r="D759" s="8"/>
      <c r="E759" s="8"/>
      <c r="F759" s="8"/>
      <c r="G759" s="8"/>
      <c r="H759" s="8"/>
      <c r="I759" s="8"/>
      <c r="J759" s="8"/>
      <c r="K759" s="8"/>
    </row>
    <row r="760" ht="15.75" customHeight="1">
      <c r="A760" s="8"/>
      <c r="B760" s="8"/>
      <c r="C760" s="8"/>
      <c r="D760" s="8"/>
      <c r="E760" s="8"/>
      <c r="F760" s="8"/>
      <c r="G760" s="8"/>
      <c r="H760" s="8"/>
      <c r="I760" s="8"/>
      <c r="J760" s="8"/>
      <c r="K760" s="8"/>
    </row>
    <row r="761" ht="15.75" customHeight="1">
      <c r="A761" s="8"/>
      <c r="B761" s="8"/>
      <c r="C761" s="8"/>
      <c r="D761" s="8"/>
      <c r="E761" s="8"/>
      <c r="F761" s="8"/>
      <c r="G761" s="8"/>
      <c r="H761" s="8"/>
      <c r="I761" s="8"/>
      <c r="J761" s="8"/>
      <c r="K761" s="8"/>
    </row>
    <row r="762" ht="15.75" customHeight="1">
      <c r="A762" s="8"/>
      <c r="B762" s="8"/>
      <c r="C762" s="8"/>
      <c r="D762" s="8"/>
      <c r="E762" s="8"/>
      <c r="F762" s="8"/>
      <c r="G762" s="8"/>
      <c r="H762" s="8"/>
      <c r="I762" s="8"/>
      <c r="J762" s="8"/>
      <c r="K762" s="8"/>
    </row>
    <row r="763" ht="15.75" customHeight="1">
      <c r="A763" s="8"/>
      <c r="B763" s="8"/>
      <c r="C763" s="8"/>
      <c r="D763" s="8"/>
      <c r="E763" s="8"/>
      <c r="F763" s="8"/>
      <c r="G763" s="8"/>
      <c r="H763" s="8"/>
      <c r="I763" s="8"/>
      <c r="J763" s="8"/>
      <c r="K763" s="8"/>
    </row>
    <row r="764" ht="15.75" customHeight="1">
      <c r="A764" s="8"/>
      <c r="B764" s="8"/>
      <c r="C764" s="8"/>
      <c r="D764" s="8"/>
      <c r="E764" s="8"/>
      <c r="F764" s="8"/>
      <c r="G764" s="8"/>
      <c r="H764" s="8"/>
      <c r="I764" s="8"/>
      <c r="J764" s="8"/>
      <c r="K764" s="8"/>
    </row>
    <row r="765" ht="15.75" customHeight="1">
      <c r="A765" s="8"/>
      <c r="B765" s="8"/>
      <c r="C765" s="8"/>
      <c r="D765" s="8"/>
      <c r="E765" s="8"/>
      <c r="F765" s="8"/>
      <c r="G765" s="8"/>
      <c r="H765" s="8"/>
      <c r="I765" s="8"/>
      <c r="J765" s="8"/>
      <c r="K765" s="8"/>
    </row>
    <row r="766" ht="15.75" customHeight="1">
      <c r="A766" s="8"/>
      <c r="B766" s="8"/>
      <c r="C766" s="8"/>
      <c r="D766" s="8"/>
      <c r="E766" s="8"/>
      <c r="F766" s="8"/>
      <c r="G766" s="8"/>
      <c r="H766" s="8"/>
      <c r="I766" s="8"/>
      <c r="J766" s="8"/>
      <c r="K766" s="8"/>
    </row>
    <row r="767" ht="15.75" customHeight="1">
      <c r="A767" s="8"/>
      <c r="B767" s="8"/>
      <c r="C767" s="8"/>
      <c r="D767" s="8"/>
      <c r="E767" s="8"/>
      <c r="F767" s="8"/>
      <c r="G767" s="8"/>
      <c r="H767" s="8"/>
      <c r="I767" s="8"/>
      <c r="J767" s="8"/>
      <c r="K767" s="8"/>
    </row>
    <row r="768" ht="15.75" customHeight="1">
      <c r="A768" s="8"/>
      <c r="B768" s="8"/>
      <c r="C768" s="8"/>
      <c r="D768" s="8"/>
      <c r="E768" s="8"/>
      <c r="F768" s="8"/>
      <c r="G768" s="8"/>
      <c r="H768" s="8"/>
      <c r="I768" s="8"/>
      <c r="J768" s="8"/>
      <c r="K768" s="8"/>
    </row>
    <row r="769" ht="15.75" customHeight="1">
      <c r="A769" s="8"/>
      <c r="B769" s="8"/>
      <c r="C769" s="8"/>
      <c r="D769" s="8"/>
      <c r="E769" s="8"/>
      <c r="F769" s="8"/>
      <c r="G769" s="8"/>
      <c r="H769" s="8"/>
      <c r="I769" s="8"/>
      <c r="J769" s="8"/>
      <c r="K769" s="8"/>
    </row>
    <row r="770" ht="15.75" customHeight="1">
      <c r="A770" s="8"/>
      <c r="B770" s="8"/>
      <c r="C770" s="8"/>
      <c r="D770" s="8"/>
      <c r="E770" s="8"/>
      <c r="F770" s="8"/>
      <c r="G770" s="8"/>
      <c r="H770" s="8"/>
      <c r="I770" s="8"/>
      <c r="J770" s="8"/>
      <c r="K770" s="8"/>
    </row>
    <row r="771" ht="15.75" customHeight="1">
      <c r="A771" s="8"/>
      <c r="B771" s="8"/>
      <c r="C771" s="8"/>
      <c r="D771" s="8"/>
      <c r="E771" s="8"/>
      <c r="F771" s="8"/>
      <c r="G771" s="8"/>
      <c r="H771" s="8"/>
      <c r="I771" s="8"/>
      <c r="J771" s="8"/>
      <c r="K771" s="8"/>
    </row>
    <row r="772" ht="15.75" customHeight="1">
      <c r="A772" s="8"/>
      <c r="B772" s="8"/>
      <c r="C772" s="8"/>
      <c r="D772" s="8"/>
      <c r="E772" s="8"/>
      <c r="F772" s="8"/>
      <c r="G772" s="8"/>
      <c r="H772" s="8"/>
      <c r="I772" s="8"/>
      <c r="J772" s="8"/>
      <c r="K772" s="8"/>
    </row>
    <row r="773" ht="15.75" customHeight="1">
      <c r="A773" s="8"/>
      <c r="B773" s="8"/>
      <c r="C773" s="8"/>
      <c r="D773" s="8"/>
      <c r="E773" s="8"/>
      <c r="F773" s="8"/>
      <c r="G773" s="8"/>
      <c r="H773" s="8"/>
      <c r="I773" s="8"/>
      <c r="J773" s="8"/>
      <c r="K773" s="8"/>
    </row>
    <row r="774" ht="15.75" customHeight="1">
      <c r="A774" s="8"/>
      <c r="B774" s="8"/>
      <c r="C774" s="8"/>
      <c r="D774" s="8"/>
      <c r="E774" s="8"/>
      <c r="F774" s="8"/>
      <c r="G774" s="8"/>
      <c r="H774" s="8"/>
      <c r="I774" s="8"/>
      <c r="J774" s="8"/>
      <c r="K774" s="8"/>
    </row>
    <row r="775" ht="15.75" customHeight="1">
      <c r="A775" s="8"/>
      <c r="B775" s="8"/>
      <c r="C775" s="8"/>
      <c r="D775" s="8"/>
      <c r="E775" s="8"/>
      <c r="F775" s="8"/>
      <c r="G775" s="8"/>
      <c r="H775" s="8"/>
      <c r="I775" s="8"/>
      <c r="J775" s="8"/>
      <c r="K775" s="8"/>
    </row>
    <row r="776" ht="15.75" customHeight="1">
      <c r="A776" s="8"/>
      <c r="B776" s="8"/>
      <c r="C776" s="8"/>
      <c r="D776" s="8"/>
      <c r="E776" s="8"/>
      <c r="F776" s="8"/>
      <c r="G776" s="8"/>
      <c r="H776" s="8"/>
      <c r="I776" s="8"/>
      <c r="J776" s="8"/>
      <c r="K776" s="8"/>
    </row>
    <row r="777" ht="15.75" customHeight="1">
      <c r="A777" s="8"/>
      <c r="B777" s="8"/>
      <c r="C777" s="8"/>
      <c r="D777" s="8"/>
      <c r="E777" s="8"/>
      <c r="F777" s="8"/>
      <c r="G777" s="8"/>
      <c r="H777" s="8"/>
      <c r="I777" s="8"/>
      <c r="J777" s="8"/>
      <c r="K777" s="8"/>
    </row>
    <row r="778" ht="15.75" customHeight="1">
      <c r="A778" s="8"/>
      <c r="B778" s="8"/>
      <c r="C778" s="8"/>
      <c r="D778" s="8"/>
      <c r="E778" s="8"/>
      <c r="F778" s="8"/>
      <c r="G778" s="8"/>
      <c r="H778" s="8"/>
      <c r="I778" s="8"/>
      <c r="J778" s="8"/>
      <c r="K778" s="8"/>
    </row>
    <row r="779" ht="15.75" customHeight="1">
      <c r="A779" s="8"/>
      <c r="B779" s="8"/>
      <c r="C779" s="8"/>
      <c r="D779" s="8"/>
      <c r="E779" s="8"/>
      <c r="F779" s="8"/>
      <c r="G779" s="8"/>
      <c r="H779" s="8"/>
      <c r="I779" s="8"/>
      <c r="J779" s="8"/>
      <c r="K779" s="8"/>
    </row>
    <row r="780" ht="15.75" customHeight="1">
      <c r="A780" s="8"/>
      <c r="B780" s="8"/>
      <c r="C780" s="8"/>
      <c r="D780" s="8"/>
      <c r="E780" s="8"/>
      <c r="F780" s="8"/>
      <c r="G780" s="8"/>
      <c r="H780" s="8"/>
      <c r="I780" s="8"/>
      <c r="J780" s="8"/>
      <c r="K780" s="8"/>
    </row>
    <row r="781" ht="15.75" customHeight="1">
      <c r="A781" s="8"/>
      <c r="B781" s="8"/>
      <c r="C781" s="8"/>
      <c r="D781" s="8"/>
      <c r="E781" s="8"/>
      <c r="F781" s="8"/>
      <c r="G781" s="8"/>
      <c r="H781" s="8"/>
      <c r="I781" s="8"/>
      <c r="J781" s="8"/>
      <c r="K781" s="8"/>
    </row>
    <row r="782" ht="15.75" customHeight="1">
      <c r="A782" s="8"/>
      <c r="B782" s="8"/>
      <c r="C782" s="8"/>
      <c r="D782" s="8"/>
      <c r="E782" s="8"/>
      <c r="F782" s="8"/>
      <c r="G782" s="8"/>
      <c r="H782" s="8"/>
      <c r="I782" s="8"/>
      <c r="J782" s="8"/>
      <c r="K782" s="8"/>
    </row>
    <row r="783" ht="15.75" customHeight="1">
      <c r="A783" s="8"/>
      <c r="B783" s="8"/>
      <c r="C783" s="8"/>
      <c r="D783" s="8"/>
      <c r="E783" s="8"/>
      <c r="F783" s="8"/>
      <c r="G783" s="8"/>
      <c r="H783" s="8"/>
      <c r="I783" s="8"/>
      <c r="J783" s="8"/>
      <c r="K783" s="8"/>
    </row>
    <row r="784" ht="15.75" customHeight="1">
      <c r="A784" s="8"/>
      <c r="B784" s="8"/>
      <c r="C784" s="8"/>
      <c r="D784" s="8"/>
      <c r="E784" s="8"/>
      <c r="F784" s="8"/>
      <c r="G784" s="8"/>
      <c r="H784" s="8"/>
      <c r="I784" s="8"/>
      <c r="J784" s="8"/>
      <c r="K784" s="8"/>
    </row>
    <row r="785" ht="15.75" customHeight="1">
      <c r="A785" s="8"/>
      <c r="B785" s="8"/>
      <c r="C785" s="8"/>
      <c r="D785" s="8"/>
      <c r="E785" s="8"/>
      <c r="F785" s="8"/>
      <c r="G785" s="8"/>
      <c r="H785" s="8"/>
      <c r="I785" s="8"/>
      <c r="J785" s="8"/>
      <c r="K785" s="8"/>
    </row>
    <row r="786" ht="15.75" customHeight="1">
      <c r="A786" s="8"/>
      <c r="B786" s="8"/>
      <c r="C786" s="8"/>
      <c r="D786" s="8"/>
      <c r="E786" s="8"/>
      <c r="F786" s="8"/>
      <c r="G786" s="8"/>
      <c r="H786" s="8"/>
      <c r="I786" s="8"/>
      <c r="J786" s="8"/>
      <c r="K786" s="8"/>
    </row>
    <row r="787" ht="15.75" customHeight="1">
      <c r="A787" s="8"/>
      <c r="B787" s="8"/>
      <c r="C787" s="8"/>
      <c r="D787" s="8"/>
      <c r="E787" s="8"/>
      <c r="F787" s="8"/>
      <c r="G787" s="8"/>
      <c r="H787" s="8"/>
      <c r="I787" s="8"/>
      <c r="J787" s="8"/>
      <c r="K787" s="8"/>
    </row>
    <row r="788" ht="15.75" customHeight="1">
      <c r="A788" s="8"/>
      <c r="B788" s="8"/>
      <c r="C788" s="8"/>
      <c r="D788" s="8"/>
      <c r="E788" s="8"/>
      <c r="F788" s="8"/>
      <c r="G788" s="8"/>
      <c r="H788" s="8"/>
      <c r="I788" s="8"/>
      <c r="J788" s="8"/>
      <c r="K788" s="8"/>
    </row>
    <row r="789" ht="15.75" customHeight="1">
      <c r="A789" s="8"/>
      <c r="B789" s="8"/>
      <c r="C789" s="8"/>
      <c r="D789" s="8"/>
      <c r="E789" s="8"/>
      <c r="F789" s="8"/>
      <c r="G789" s="8"/>
      <c r="H789" s="8"/>
      <c r="I789" s="8"/>
      <c r="J789" s="8"/>
      <c r="K789" s="8"/>
    </row>
    <row r="790" ht="15.75" customHeight="1">
      <c r="A790" s="8"/>
      <c r="B790" s="8"/>
      <c r="C790" s="8"/>
      <c r="D790" s="8"/>
      <c r="E790" s="8"/>
      <c r="F790" s="8"/>
      <c r="G790" s="8"/>
      <c r="H790" s="8"/>
      <c r="I790" s="8"/>
      <c r="J790" s="8"/>
      <c r="K790" s="8"/>
    </row>
    <row r="791" ht="15.75" customHeight="1">
      <c r="A791" s="8"/>
      <c r="B791" s="8"/>
      <c r="C791" s="8"/>
      <c r="D791" s="8"/>
      <c r="E791" s="8"/>
      <c r="F791" s="8"/>
      <c r="G791" s="8"/>
      <c r="H791" s="8"/>
      <c r="I791" s="8"/>
      <c r="J791" s="8"/>
      <c r="K791" s="8"/>
    </row>
    <row r="792" ht="15.75" customHeight="1">
      <c r="A792" s="8"/>
      <c r="B792" s="8"/>
      <c r="C792" s="8"/>
      <c r="D792" s="8"/>
      <c r="E792" s="8"/>
      <c r="F792" s="8"/>
      <c r="G792" s="8"/>
      <c r="H792" s="8"/>
      <c r="I792" s="8"/>
      <c r="J792" s="8"/>
      <c r="K792" s="8"/>
    </row>
    <row r="793" ht="15.75" customHeight="1">
      <c r="A793" s="8"/>
      <c r="B793" s="8"/>
      <c r="C793" s="8"/>
      <c r="D793" s="8"/>
      <c r="E793" s="8"/>
      <c r="F793" s="8"/>
      <c r="G793" s="8"/>
      <c r="H793" s="8"/>
      <c r="I793" s="8"/>
      <c r="J793" s="8"/>
      <c r="K793" s="8"/>
    </row>
    <row r="794" ht="15.75" customHeight="1">
      <c r="A794" s="8"/>
      <c r="B794" s="8"/>
      <c r="C794" s="8"/>
      <c r="D794" s="8"/>
      <c r="E794" s="8"/>
      <c r="F794" s="8"/>
      <c r="G794" s="8"/>
      <c r="H794" s="8"/>
      <c r="I794" s="8"/>
      <c r="J794" s="8"/>
      <c r="K794" s="8"/>
    </row>
    <row r="795" ht="15.75" customHeight="1">
      <c r="A795" s="8"/>
      <c r="B795" s="8"/>
      <c r="C795" s="8"/>
      <c r="D795" s="8"/>
      <c r="E795" s="8"/>
      <c r="F795" s="8"/>
      <c r="G795" s="8"/>
      <c r="H795" s="8"/>
      <c r="I795" s="8"/>
      <c r="J795" s="8"/>
      <c r="K795" s="8"/>
    </row>
    <row r="796" ht="15.75" customHeight="1">
      <c r="A796" s="8"/>
      <c r="B796" s="8"/>
      <c r="C796" s="8"/>
      <c r="D796" s="8"/>
      <c r="E796" s="8"/>
      <c r="F796" s="8"/>
      <c r="G796" s="8"/>
      <c r="H796" s="8"/>
      <c r="I796" s="8"/>
      <c r="J796" s="8"/>
      <c r="K796" s="8"/>
    </row>
    <row r="797" ht="15.75" customHeight="1">
      <c r="A797" s="8"/>
      <c r="B797" s="8"/>
      <c r="C797" s="8"/>
      <c r="D797" s="8"/>
      <c r="E797" s="8"/>
      <c r="F797" s="8"/>
      <c r="G797" s="8"/>
      <c r="H797" s="8"/>
      <c r="I797" s="8"/>
      <c r="J797" s="8"/>
      <c r="K797" s="8"/>
    </row>
    <row r="798" ht="15.75" customHeight="1">
      <c r="A798" s="8"/>
      <c r="B798" s="8"/>
      <c r="C798" s="8"/>
      <c r="D798" s="8"/>
      <c r="E798" s="8"/>
      <c r="F798" s="8"/>
      <c r="G798" s="8"/>
      <c r="H798" s="8"/>
      <c r="I798" s="8"/>
      <c r="J798" s="8"/>
      <c r="K798" s="8"/>
    </row>
    <row r="799" ht="15.75" customHeight="1">
      <c r="A799" s="8"/>
      <c r="B799" s="8"/>
      <c r="C799" s="8"/>
      <c r="D799" s="8"/>
      <c r="E799" s="8"/>
      <c r="F799" s="8"/>
      <c r="G799" s="8"/>
      <c r="H799" s="8"/>
      <c r="I799" s="8"/>
      <c r="J799" s="8"/>
      <c r="K799" s="8"/>
    </row>
    <row r="800" ht="15.75" customHeight="1">
      <c r="A800" s="8"/>
      <c r="B800" s="8"/>
      <c r="C800" s="8"/>
      <c r="D800" s="8"/>
      <c r="E800" s="8"/>
      <c r="F800" s="8"/>
      <c r="G800" s="8"/>
      <c r="H800" s="8"/>
      <c r="I800" s="8"/>
      <c r="J800" s="8"/>
      <c r="K800" s="8"/>
    </row>
    <row r="801" ht="15.75" customHeight="1">
      <c r="A801" s="8"/>
      <c r="B801" s="8"/>
      <c r="C801" s="8"/>
      <c r="D801" s="8"/>
      <c r="E801" s="8"/>
      <c r="F801" s="8"/>
      <c r="G801" s="8"/>
      <c r="H801" s="8"/>
      <c r="I801" s="8"/>
      <c r="J801" s="8"/>
      <c r="K801" s="8"/>
    </row>
    <row r="802" ht="15.75" customHeight="1">
      <c r="A802" s="8"/>
      <c r="B802" s="8"/>
      <c r="C802" s="8"/>
      <c r="D802" s="8"/>
      <c r="E802" s="8"/>
      <c r="F802" s="8"/>
      <c r="G802" s="8"/>
      <c r="H802" s="8"/>
      <c r="I802" s="8"/>
      <c r="J802" s="8"/>
      <c r="K802" s="8"/>
    </row>
    <row r="803" ht="15.75" customHeight="1">
      <c r="A803" s="8"/>
      <c r="B803" s="8"/>
      <c r="C803" s="8"/>
      <c r="D803" s="8"/>
      <c r="E803" s="8"/>
      <c r="F803" s="8"/>
      <c r="G803" s="8"/>
      <c r="H803" s="8"/>
      <c r="I803" s="8"/>
      <c r="J803" s="8"/>
      <c r="K803" s="8"/>
    </row>
    <row r="804" ht="15.75" customHeight="1">
      <c r="A804" s="8"/>
      <c r="B804" s="8"/>
      <c r="C804" s="8"/>
      <c r="D804" s="8"/>
      <c r="E804" s="8"/>
      <c r="F804" s="8"/>
      <c r="G804" s="8"/>
      <c r="H804" s="8"/>
      <c r="I804" s="8"/>
      <c r="J804" s="8"/>
      <c r="K804" s="8"/>
    </row>
    <row r="805" ht="15.75" customHeight="1">
      <c r="A805" s="8"/>
      <c r="B805" s="8"/>
      <c r="C805" s="8"/>
      <c r="D805" s="8"/>
      <c r="E805" s="8"/>
      <c r="F805" s="8"/>
      <c r="G805" s="8"/>
      <c r="H805" s="8"/>
      <c r="I805" s="8"/>
      <c r="J805" s="8"/>
      <c r="K805" s="8"/>
    </row>
    <row r="806" ht="15.75" customHeight="1">
      <c r="A806" s="8"/>
      <c r="B806" s="8"/>
      <c r="C806" s="8"/>
      <c r="D806" s="8"/>
      <c r="E806" s="8"/>
      <c r="F806" s="8"/>
      <c r="G806" s="8"/>
      <c r="H806" s="8"/>
      <c r="I806" s="8"/>
      <c r="J806" s="8"/>
      <c r="K806" s="8"/>
    </row>
    <row r="807" ht="15.75" customHeight="1">
      <c r="A807" s="8"/>
      <c r="B807" s="8"/>
      <c r="C807" s="8"/>
      <c r="D807" s="8"/>
      <c r="E807" s="8"/>
      <c r="F807" s="8"/>
      <c r="G807" s="8"/>
      <c r="H807" s="8"/>
      <c r="I807" s="8"/>
      <c r="J807" s="8"/>
      <c r="K807" s="8"/>
    </row>
    <row r="808" ht="15.75" customHeight="1">
      <c r="A808" s="8"/>
      <c r="B808" s="8"/>
      <c r="C808" s="8"/>
      <c r="D808" s="8"/>
      <c r="E808" s="8"/>
      <c r="F808" s="8"/>
      <c r="G808" s="8"/>
      <c r="H808" s="8"/>
      <c r="I808" s="8"/>
      <c r="J808" s="8"/>
      <c r="K808" s="8"/>
    </row>
    <row r="809" ht="15.75" customHeight="1">
      <c r="A809" s="8"/>
      <c r="B809" s="8"/>
      <c r="C809" s="8"/>
      <c r="D809" s="8"/>
      <c r="E809" s="8"/>
      <c r="F809" s="8"/>
      <c r="G809" s="8"/>
      <c r="H809" s="8"/>
      <c r="I809" s="8"/>
      <c r="J809" s="8"/>
      <c r="K809" s="8"/>
    </row>
    <row r="810" ht="15.75" customHeight="1">
      <c r="A810" s="8"/>
      <c r="B810" s="8"/>
      <c r="C810" s="8"/>
      <c r="D810" s="8"/>
      <c r="E810" s="8"/>
      <c r="F810" s="8"/>
      <c r="G810" s="8"/>
      <c r="H810" s="8"/>
      <c r="I810" s="8"/>
      <c r="J810" s="8"/>
      <c r="K810" s="8"/>
    </row>
    <row r="811" ht="15.75" customHeight="1">
      <c r="A811" s="8"/>
      <c r="B811" s="8"/>
      <c r="C811" s="8"/>
      <c r="D811" s="8"/>
      <c r="E811" s="8"/>
      <c r="F811" s="8"/>
      <c r="G811" s="8"/>
      <c r="H811" s="8"/>
      <c r="I811" s="8"/>
      <c r="J811" s="8"/>
      <c r="K811" s="8"/>
    </row>
    <row r="812" ht="15.75" customHeight="1">
      <c r="A812" s="8"/>
      <c r="B812" s="8"/>
      <c r="C812" s="8"/>
      <c r="D812" s="8"/>
      <c r="E812" s="8"/>
      <c r="F812" s="8"/>
      <c r="G812" s="8"/>
      <c r="H812" s="8"/>
      <c r="I812" s="8"/>
      <c r="J812" s="8"/>
      <c r="K812" s="8"/>
    </row>
    <row r="813" ht="15.75" customHeight="1">
      <c r="A813" s="8"/>
      <c r="B813" s="8"/>
      <c r="C813" s="8"/>
      <c r="D813" s="8"/>
      <c r="E813" s="8"/>
      <c r="F813" s="8"/>
      <c r="G813" s="8"/>
      <c r="H813" s="8"/>
      <c r="I813" s="8"/>
      <c r="J813" s="8"/>
      <c r="K813" s="8"/>
    </row>
    <row r="814" ht="15.75" customHeight="1">
      <c r="A814" s="8"/>
      <c r="B814" s="8"/>
      <c r="C814" s="8"/>
      <c r="D814" s="8"/>
      <c r="E814" s="8"/>
      <c r="F814" s="8"/>
      <c r="G814" s="8"/>
      <c r="H814" s="8"/>
      <c r="I814" s="8"/>
      <c r="J814" s="8"/>
      <c r="K814" s="8"/>
    </row>
    <row r="815" ht="15.75" customHeight="1">
      <c r="A815" s="8"/>
      <c r="B815" s="8"/>
      <c r="C815" s="8"/>
      <c r="D815" s="8"/>
      <c r="E815" s="8"/>
      <c r="F815" s="8"/>
      <c r="G815" s="8"/>
      <c r="H815" s="8"/>
      <c r="I815" s="8"/>
      <c r="J815" s="8"/>
      <c r="K815" s="8"/>
    </row>
    <row r="816" ht="15.75" customHeight="1">
      <c r="A816" s="8"/>
      <c r="B816" s="8"/>
      <c r="C816" s="8"/>
      <c r="D816" s="8"/>
      <c r="E816" s="8"/>
      <c r="F816" s="8"/>
      <c r="G816" s="8"/>
      <c r="H816" s="8"/>
      <c r="I816" s="8"/>
      <c r="J816" s="8"/>
      <c r="K816" s="8"/>
    </row>
    <row r="817" ht="15.75" customHeight="1">
      <c r="A817" s="8"/>
      <c r="B817" s="8"/>
      <c r="C817" s="8"/>
      <c r="D817" s="8"/>
      <c r="E817" s="8"/>
      <c r="F817" s="8"/>
      <c r="G817" s="8"/>
      <c r="H817" s="8"/>
      <c r="I817" s="8"/>
      <c r="J817" s="8"/>
      <c r="K817" s="8"/>
    </row>
    <row r="818" ht="15.75" customHeight="1">
      <c r="A818" s="8"/>
      <c r="B818" s="8"/>
      <c r="C818" s="8"/>
      <c r="D818" s="8"/>
      <c r="E818" s="8"/>
      <c r="F818" s="8"/>
      <c r="G818" s="8"/>
      <c r="H818" s="8"/>
      <c r="I818" s="8"/>
      <c r="J818" s="8"/>
      <c r="K818" s="8"/>
    </row>
    <row r="819" ht="15.75" customHeight="1">
      <c r="A819" s="8"/>
      <c r="B819" s="8"/>
      <c r="C819" s="8"/>
      <c r="D819" s="8"/>
      <c r="E819" s="8"/>
      <c r="F819" s="8"/>
      <c r="G819" s="8"/>
      <c r="H819" s="8"/>
      <c r="I819" s="8"/>
      <c r="J819" s="8"/>
      <c r="K819" s="8"/>
    </row>
    <row r="820" ht="15.75" customHeight="1">
      <c r="A820" s="8"/>
      <c r="B820" s="8"/>
      <c r="C820" s="8"/>
      <c r="D820" s="8"/>
      <c r="E820" s="8"/>
      <c r="F820" s="8"/>
      <c r="G820" s="8"/>
      <c r="H820" s="8"/>
      <c r="I820" s="8"/>
      <c r="J820" s="8"/>
      <c r="K820" s="8"/>
    </row>
    <row r="821" ht="15.75" customHeight="1">
      <c r="A821" s="8"/>
      <c r="B821" s="8"/>
      <c r="C821" s="8"/>
      <c r="D821" s="8"/>
      <c r="E821" s="8"/>
      <c r="F821" s="8"/>
      <c r="G821" s="8"/>
      <c r="H821" s="8"/>
      <c r="I821" s="8"/>
      <c r="J821" s="8"/>
      <c r="K821" s="8"/>
    </row>
    <row r="822" ht="15.75" customHeight="1">
      <c r="A822" s="8"/>
      <c r="B822" s="8"/>
      <c r="C822" s="8"/>
      <c r="D822" s="8"/>
      <c r="E822" s="8"/>
      <c r="F822" s="8"/>
      <c r="G822" s="8"/>
      <c r="H822" s="8"/>
      <c r="I822" s="8"/>
      <c r="J822" s="8"/>
      <c r="K822" s="8"/>
    </row>
    <row r="823" ht="15.75" customHeight="1">
      <c r="A823" s="8"/>
      <c r="B823" s="8"/>
      <c r="C823" s="8"/>
      <c r="D823" s="8"/>
      <c r="E823" s="8"/>
      <c r="F823" s="8"/>
      <c r="G823" s="8"/>
      <c r="H823" s="8"/>
      <c r="I823" s="8"/>
      <c r="J823" s="8"/>
      <c r="K823" s="8"/>
    </row>
    <row r="824" ht="15.75" customHeight="1">
      <c r="A824" s="8"/>
      <c r="B824" s="8"/>
      <c r="C824" s="8"/>
      <c r="D824" s="8"/>
      <c r="E824" s="8"/>
      <c r="F824" s="8"/>
      <c r="G824" s="8"/>
      <c r="H824" s="8"/>
      <c r="I824" s="8"/>
      <c r="J824" s="8"/>
      <c r="K824" s="8"/>
    </row>
    <row r="825" ht="15.75" customHeight="1">
      <c r="A825" s="8"/>
      <c r="B825" s="8"/>
      <c r="C825" s="8"/>
      <c r="D825" s="8"/>
      <c r="E825" s="8"/>
      <c r="F825" s="8"/>
      <c r="G825" s="8"/>
      <c r="H825" s="8"/>
      <c r="I825" s="8"/>
      <c r="J825" s="8"/>
      <c r="K825" s="8"/>
    </row>
    <row r="826" ht="15.75" customHeight="1">
      <c r="A826" s="8"/>
      <c r="B826" s="8"/>
      <c r="C826" s="8"/>
      <c r="D826" s="8"/>
      <c r="E826" s="8"/>
      <c r="F826" s="8"/>
      <c r="G826" s="8"/>
      <c r="H826" s="8"/>
      <c r="I826" s="8"/>
      <c r="J826" s="8"/>
      <c r="K826" s="8"/>
    </row>
    <row r="827" ht="15.75" customHeight="1">
      <c r="A827" s="8"/>
      <c r="B827" s="8"/>
      <c r="C827" s="8"/>
      <c r="D827" s="8"/>
      <c r="E827" s="8"/>
      <c r="F827" s="8"/>
      <c r="G827" s="8"/>
      <c r="H827" s="8"/>
      <c r="I827" s="8"/>
      <c r="J827" s="8"/>
      <c r="K827" s="8"/>
    </row>
    <row r="828" ht="15.75" customHeight="1">
      <c r="A828" s="8"/>
      <c r="B828" s="8"/>
      <c r="C828" s="8"/>
      <c r="D828" s="8"/>
      <c r="E828" s="8"/>
      <c r="F828" s="8"/>
      <c r="G828" s="8"/>
      <c r="H828" s="8"/>
      <c r="I828" s="8"/>
      <c r="J828" s="8"/>
      <c r="K828" s="8"/>
    </row>
    <row r="829" ht="15.75" customHeight="1">
      <c r="A829" s="8"/>
      <c r="B829" s="8"/>
      <c r="C829" s="8"/>
      <c r="D829" s="8"/>
      <c r="E829" s="8"/>
      <c r="F829" s="8"/>
      <c r="G829" s="8"/>
      <c r="H829" s="8"/>
      <c r="I829" s="8"/>
      <c r="J829" s="8"/>
      <c r="K829" s="8"/>
    </row>
    <row r="830" ht="15.75" customHeight="1">
      <c r="A830" s="8"/>
      <c r="B830" s="8"/>
      <c r="C830" s="8"/>
      <c r="D830" s="8"/>
      <c r="E830" s="8"/>
      <c r="F830" s="8"/>
      <c r="G830" s="8"/>
      <c r="H830" s="8"/>
      <c r="I830" s="8"/>
      <c r="J830" s="8"/>
      <c r="K830" s="8"/>
    </row>
    <row r="831" ht="15.75" customHeight="1">
      <c r="A831" s="8"/>
      <c r="B831" s="8"/>
      <c r="C831" s="8"/>
      <c r="D831" s="8"/>
      <c r="E831" s="8"/>
      <c r="F831" s="8"/>
      <c r="G831" s="8"/>
      <c r="H831" s="8"/>
      <c r="I831" s="8"/>
      <c r="J831" s="8"/>
      <c r="K831" s="8"/>
    </row>
    <row r="832" ht="15.75" customHeight="1">
      <c r="A832" s="8"/>
      <c r="B832" s="8"/>
      <c r="C832" s="8"/>
      <c r="D832" s="8"/>
      <c r="E832" s="8"/>
      <c r="F832" s="8"/>
      <c r="G832" s="8"/>
      <c r="H832" s="8"/>
      <c r="I832" s="8"/>
      <c r="J832" s="8"/>
      <c r="K832" s="8"/>
    </row>
    <row r="833" ht="15.75" customHeight="1">
      <c r="A833" s="8"/>
      <c r="B833" s="8"/>
      <c r="C833" s="8"/>
      <c r="D833" s="8"/>
      <c r="E833" s="8"/>
      <c r="F833" s="8"/>
      <c r="G833" s="8"/>
      <c r="H833" s="8"/>
      <c r="I833" s="8"/>
      <c r="J833" s="8"/>
      <c r="K833" s="8"/>
    </row>
    <row r="834" ht="15.75" customHeight="1">
      <c r="A834" s="8"/>
      <c r="B834" s="8"/>
      <c r="C834" s="8"/>
      <c r="D834" s="8"/>
      <c r="E834" s="8"/>
      <c r="F834" s="8"/>
      <c r="G834" s="8"/>
      <c r="H834" s="8"/>
      <c r="I834" s="8"/>
      <c r="J834" s="8"/>
      <c r="K834" s="8"/>
    </row>
    <row r="835" ht="15.75" customHeight="1">
      <c r="A835" s="8"/>
      <c r="B835" s="8"/>
      <c r="C835" s="8"/>
      <c r="D835" s="8"/>
      <c r="E835" s="8"/>
      <c r="F835" s="8"/>
      <c r="G835" s="8"/>
      <c r="H835" s="8"/>
      <c r="I835" s="8"/>
      <c r="J835" s="8"/>
      <c r="K835" s="8"/>
    </row>
    <row r="836" ht="15.75" customHeight="1">
      <c r="A836" s="8"/>
      <c r="B836" s="8"/>
      <c r="C836" s="8"/>
      <c r="D836" s="8"/>
      <c r="E836" s="8"/>
      <c r="F836" s="8"/>
      <c r="G836" s="8"/>
      <c r="H836" s="8"/>
      <c r="I836" s="8"/>
      <c r="J836" s="8"/>
      <c r="K836" s="8"/>
    </row>
    <row r="837" ht="15.75" customHeight="1">
      <c r="A837" s="8"/>
      <c r="B837" s="8"/>
      <c r="C837" s="8"/>
      <c r="D837" s="8"/>
      <c r="E837" s="8"/>
      <c r="F837" s="8"/>
      <c r="G837" s="8"/>
      <c r="H837" s="8"/>
      <c r="I837" s="8"/>
      <c r="J837" s="8"/>
      <c r="K837" s="8"/>
    </row>
    <row r="838" ht="15.75" customHeight="1">
      <c r="A838" s="8"/>
      <c r="B838" s="8"/>
      <c r="C838" s="8"/>
      <c r="D838" s="8"/>
      <c r="E838" s="8"/>
      <c r="F838" s="8"/>
      <c r="G838" s="8"/>
      <c r="H838" s="8"/>
      <c r="I838" s="8"/>
      <c r="J838" s="8"/>
      <c r="K838" s="8"/>
    </row>
    <row r="839" ht="15.75" customHeight="1">
      <c r="A839" s="8"/>
      <c r="B839" s="8"/>
      <c r="C839" s="8"/>
      <c r="D839" s="8"/>
      <c r="E839" s="8"/>
      <c r="F839" s="8"/>
      <c r="G839" s="8"/>
      <c r="H839" s="8"/>
      <c r="I839" s="8"/>
      <c r="J839" s="8"/>
      <c r="K839" s="8"/>
    </row>
    <row r="840" ht="15.75" customHeight="1">
      <c r="A840" s="8"/>
      <c r="B840" s="8"/>
      <c r="C840" s="8"/>
      <c r="D840" s="8"/>
      <c r="E840" s="8"/>
      <c r="F840" s="8"/>
      <c r="G840" s="8"/>
      <c r="H840" s="8"/>
      <c r="I840" s="8"/>
      <c r="J840" s="8"/>
      <c r="K840" s="8"/>
    </row>
    <row r="841" ht="15.75" customHeight="1">
      <c r="A841" s="8"/>
      <c r="B841" s="8"/>
      <c r="C841" s="8"/>
      <c r="D841" s="8"/>
      <c r="E841" s="8"/>
      <c r="F841" s="8"/>
      <c r="G841" s="8"/>
      <c r="H841" s="8"/>
      <c r="I841" s="8"/>
      <c r="J841" s="8"/>
      <c r="K841" s="8"/>
    </row>
    <row r="842" ht="15.75" customHeight="1">
      <c r="A842" s="8"/>
      <c r="B842" s="8"/>
      <c r="C842" s="8"/>
      <c r="D842" s="8"/>
      <c r="E842" s="8"/>
      <c r="F842" s="8"/>
      <c r="G842" s="8"/>
      <c r="H842" s="8"/>
      <c r="I842" s="8"/>
      <c r="J842" s="8"/>
      <c r="K842" s="8"/>
    </row>
    <row r="843" ht="15.75" customHeight="1">
      <c r="A843" s="8"/>
      <c r="B843" s="8"/>
      <c r="C843" s="8"/>
      <c r="D843" s="8"/>
      <c r="E843" s="8"/>
      <c r="F843" s="8"/>
      <c r="G843" s="8"/>
      <c r="H843" s="8"/>
      <c r="I843" s="8"/>
      <c r="J843" s="8"/>
      <c r="K843" s="8"/>
    </row>
    <row r="844" ht="15.75" customHeight="1">
      <c r="A844" s="8"/>
      <c r="B844" s="8"/>
      <c r="C844" s="8"/>
      <c r="D844" s="8"/>
      <c r="E844" s="8"/>
      <c r="F844" s="8"/>
      <c r="G844" s="8"/>
      <c r="H844" s="8"/>
      <c r="I844" s="8"/>
      <c r="J844" s="8"/>
      <c r="K844" s="8"/>
    </row>
    <row r="845" ht="15.75" customHeight="1">
      <c r="A845" s="8"/>
      <c r="B845" s="8"/>
      <c r="C845" s="8"/>
      <c r="D845" s="8"/>
      <c r="E845" s="8"/>
      <c r="F845" s="8"/>
      <c r="G845" s="8"/>
      <c r="H845" s="8"/>
      <c r="I845" s="8"/>
      <c r="J845" s="8"/>
      <c r="K845" s="8"/>
    </row>
    <row r="846" ht="15.75" customHeight="1">
      <c r="A846" s="8"/>
      <c r="B846" s="8"/>
      <c r="C846" s="8"/>
      <c r="D846" s="8"/>
      <c r="E846" s="8"/>
      <c r="F846" s="8"/>
      <c r="G846" s="8"/>
      <c r="H846" s="8"/>
      <c r="I846" s="8"/>
      <c r="J846" s="8"/>
      <c r="K846" s="8"/>
    </row>
    <row r="847" ht="15.75" customHeight="1">
      <c r="A847" s="8"/>
      <c r="B847" s="8"/>
      <c r="C847" s="8"/>
      <c r="D847" s="8"/>
      <c r="E847" s="8"/>
      <c r="F847" s="8"/>
      <c r="G847" s="8"/>
      <c r="H847" s="8"/>
      <c r="I847" s="8"/>
      <c r="J847" s="8"/>
      <c r="K847" s="8"/>
    </row>
    <row r="848" ht="15.75" customHeight="1">
      <c r="A848" s="8"/>
      <c r="B848" s="8"/>
      <c r="C848" s="8"/>
      <c r="D848" s="8"/>
      <c r="E848" s="8"/>
      <c r="F848" s="8"/>
      <c r="G848" s="8"/>
      <c r="H848" s="8"/>
      <c r="I848" s="8"/>
      <c r="J848" s="8"/>
      <c r="K848" s="8"/>
    </row>
    <row r="849" ht="15.75" customHeight="1">
      <c r="A849" s="8"/>
      <c r="B849" s="8"/>
      <c r="C849" s="8"/>
      <c r="D849" s="8"/>
      <c r="E849" s="8"/>
      <c r="F849" s="8"/>
      <c r="G849" s="8"/>
      <c r="H849" s="8"/>
      <c r="I849" s="8"/>
      <c r="J849" s="8"/>
      <c r="K849" s="8"/>
    </row>
    <row r="850" ht="15.75" customHeight="1">
      <c r="A850" s="8"/>
      <c r="B850" s="8"/>
      <c r="C850" s="8"/>
      <c r="D850" s="8"/>
      <c r="E850" s="8"/>
      <c r="F850" s="8"/>
      <c r="G850" s="8"/>
      <c r="H850" s="8"/>
      <c r="I850" s="8"/>
      <c r="J850" s="8"/>
      <c r="K850" s="8"/>
    </row>
    <row r="851" ht="15.75" customHeight="1">
      <c r="A851" s="8"/>
      <c r="B851" s="8"/>
      <c r="C851" s="8"/>
      <c r="D851" s="8"/>
      <c r="E851" s="8"/>
      <c r="F851" s="8"/>
      <c r="G851" s="8"/>
      <c r="H851" s="8"/>
      <c r="I851" s="8"/>
      <c r="J851" s="8"/>
      <c r="K851" s="8"/>
    </row>
    <row r="852" ht="15.75" customHeight="1">
      <c r="A852" s="8"/>
      <c r="B852" s="8"/>
      <c r="C852" s="8"/>
      <c r="D852" s="8"/>
      <c r="E852" s="8"/>
      <c r="F852" s="8"/>
      <c r="G852" s="8"/>
      <c r="H852" s="8"/>
      <c r="I852" s="8"/>
      <c r="J852" s="8"/>
      <c r="K852" s="8"/>
    </row>
    <row r="853" ht="15.75" customHeight="1">
      <c r="A853" s="8"/>
      <c r="B853" s="8"/>
      <c r="C853" s="8"/>
      <c r="D853" s="8"/>
      <c r="E853" s="8"/>
      <c r="F853" s="8"/>
      <c r="G853" s="8"/>
      <c r="H853" s="8"/>
      <c r="I853" s="8"/>
      <c r="J853" s="8"/>
      <c r="K853" s="8"/>
    </row>
    <row r="854" ht="15.75" customHeight="1">
      <c r="A854" s="8"/>
      <c r="B854" s="8"/>
      <c r="C854" s="8"/>
      <c r="D854" s="8"/>
      <c r="E854" s="8"/>
      <c r="F854" s="8"/>
      <c r="G854" s="8"/>
      <c r="H854" s="8"/>
      <c r="I854" s="8"/>
      <c r="J854" s="8"/>
      <c r="K854" s="8"/>
    </row>
    <row r="855" ht="15.75" customHeight="1">
      <c r="A855" s="8"/>
      <c r="B855" s="8"/>
      <c r="C855" s="8"/>
      <c r="D855" s="8"/>
      <c r="E855" s="8"/>
      <c r="F855" s="8"/>
      <c r="G855" s="8"/>
      <c r="H855" s="8"/>
      <c r="I855" s="8"/>
      <c r="J855" s="8"/>
      <c r="K855" s="8"/>
    </row>
    <row r="856" ht="15.75" customHeight="1">
      <c r="A856" s="8"/>
      <c r="B856" s="8"/>
      <c r="C856" s="8"/>
      <c r="D856" s="8"/>
      <c r="E856" s="8"/>
      <c r="F856" s="8"/>
      <c r="G856" s="8"/>
      <c r="H856" s="8"/>
      <c r="I856" s="8"/>
      <c r="J856" s="8"/>
      <c r="K856" s="8"/>
    </row>
    <row r="857" ht="15.75" customHeight="1">
      <c r="A857" s="8"/>
      <c r="B857" s="8"/>
      <c r="C857" s="8"/>
      <c r="D857" s="8"/>
      <c r="E857" s="8"/>
      <c r="F857" s="8"/>
      <c r="G857" s="8"/>
      <c r="H857" s="8"/>
      <c r="I857" s="8"/>
      <c r="J857" s="8"/>
      <c r="K857" s="8"/>
    </row>
    <row r="858" ht="15.75" customHeight="1">
      <c r="A858" s="8"/>
      <c r="B858" s="8"/>
      <c r="C858" s="8"/>
      <c r="D858" s="8"/>
      <c r="E858" s="8"/>
      <c r="F858" s="8"/>
      <c r="G858" s="8"/>
      <c r="H858" s="8"/>
      <c r="I858" s="8"/>
      <c r="J858" s="8"/>
      <c r="K858" s="8"/>
    </row>
    <row r="859" ht="15.75" customHeight="1">
      <c r="A859" s="8"/>
      <c r="B859" s="8"/>
      <c r="C859" s="8"/>
      <c r="D859" s="8"/>
      <c r="E859" s="8"/>
      <c r="F859" s="8"/>
      <c r="G859" s="8"/>
      <c r="H859" s="8"/>
      <c r="I859" s="8"/>
      <c r="J859" s="8"/>
      <c r="K859" s="8"/>
    </row>
    <row r="860" ht="15.75" customHeight="1">
      <c r="A860" s="8"/>
      <c r="B860" s="8"/>
      <c r="C860" s="8"/>
      <c r="D860" s="8"/>
      <c r="E860" s="8"/>
      <c r="F860" s="8"/>
      <c r="G860" s="8"/>
      <c r="H860" s="8"/>
      <c r="I860" s="8"/>
      <c r="J860" s="8"/>
      <c r="K860" s="8"/>
    </row>
    <row r="861" ht="15.75" customHeight="1">
      <c r="A861" s="8"/>
      <c r="B861" s="8"/>
      <c r="C861" s="8"/>
      <c r="D861" s="8"/>
      <c r="E861" s="8"/>
      <c r="F861" s="8"/>
      <c r="G861" s="8"/>
      <c r="H861" s="8"/>
      <c r="I861" s="8"/>
      <c r="J861" s="8"/>
      <c r="K861" s="8"/>
    </row>
    <row r="862" ht="15.75" customHeight="1">
      <c r="A862" s="8"/>
      <c r="B862" s="8"/>
      <c r="C862" s="8"/>
      <c r="D862" s="8"/>
      <c r="E862" s="8"/>
      <c r="F862" s="8"/>
      <c r="G862" s="8"/>
      <c r="H862" s="8"/>
      <c r="I862" s="8"/>
      <c r="J862" s="8"/>
      <c r="K862" s="8"/>
    </row>
    <row r="863" ht="15.75" customHeight="1">
      <c r="A863" s="8"/>
      <c r="B863" s="8"/>
      <c r="C863" s="8"/>
      <c r="D863" s="8"/>
      <c r="E863" s="8"/>
      <c r="F863" s="8"/>
      <c r="G863" s="8"/>
      <c r="H863" s="8"/>
      <c r="I863" s="8"/>
      <c r="J863" s="8"/>
      <c r="K863" s="8"/>
    </row>
    <row r="864" ht="15.75" customHeight="1">
      <c r="A864" s="8"/>
      <c r="B864" s="8"/>
      <c r="C864" s="8"/>
      <c r="D864" s="8"/>
      <c r="E864" s="8"/>
      <c r="F864" s="8"/>
      <c r="G864" s="8"/>
      <c r="H864" s="8"/>
      <c r="I864" s="8"/>
      <c r="J864" s="8"/>
      <c r="K864" s="8"/>
    </row>
    <row r="865" ht="15.75" customHeight="1">
      <c r="A865" s="8"/>
      <c r="B865" s="8"/>
      <c r="C865" s="8"/>
      <c r="D865" s="8"/>
      <c r="E865" s="8"/>
      <c r="F865" s="8"/>
      <c r="G865" s="8"/>
      <c r="H865" s="8"/>
      <c r="I865" s="8"/>
      <c r="J865" s="8"/>
      <c r="K865" s="8"/>
    </row>
    <row r="866" ht="15.75" customHeight="1">
      <c r="A866" s="8"/>
      <c r="B866" s="8"/>
      <c r="C866" s="8"/>
      <c r="D866" s="8"/>
      <c r="E866" s="8"/>
      <c r="F866" s="8"/>
      <c r="G866" s="8"/>
      <c r="H866" s="8"/>
      <c r="I866" s="8"/>
      <c r="J866" s="8"/>
      <c r="K866" s="8"/>
    </row>
    <row r="867" ht="15.75" customHeight="1">
      <c r="A867" s="8"/>
      <c r="B867" s="8"/>
      <c r="C867" s="8"/>
      <c r="D867" s="8"/>
      <c r="E867" s="8"/>
      <c r="F867" s="8"/>
      <c r="G867" s="8"/>
      <c r="H867" s="8"/>
      <c r="I867" s="8"/>
      <c r="J867" s="8"/>
      <c r="K867" s="8"/>
    </row>
    <row r="868" ht="15.75" customHeight="1">
      <c r="A868" s="8"/>
      <c r="B868" s="8"/>
      <c r="C868" s="8"/>
      <c r="D868" s="8"/>
      <c r="E868" s="8"/>
      <c r="F868" s="8"/>
      <c r="G868" s="8"/>
      <c r="H868" s="8"/>
      <c r="I868" s="8"/>
      <c r="J868" s="8"/>
      <c r="K868" s="8"/>
    </row>
    <row r="869" ht="15.75" customHeight="1">
      <c r="A869" s="8"/>
      <c r="B869" s="8"/>
      <c r="C869" s="8"/>
      <c r="D869" s="8"/>
      <c r="E869" s="8"/>
      <c r="F869" s="8"/>
      <c r="G869" s="8"/>
      <c r="H869" s="8"/>
      <c r="I869" s="8"/>
      <c r="J869" s="8"/>
      <c r="K869" s="8"/>
    </row>
    <row r="870" ht="15.75" customHeight="1">
      <c r="A870" s="8"/>
      <c r="B870" s="8"/>
      <c r="C870" s="8"/>
      <c r="D870" s="8"/>
      <c r="E870" s="8"/>
      <c r="F870" s="8"/>
      <c r="G870" s="8"/>
      <c r="H870" s="8"/>
      <c r="I870" s="8"/>
      <c r="J870" s="8"/>
      <c r="K870" s="8"/>
    </row>
    <row r="871" ht="15.75" customHeight="1">
      <c r="A871" s="8"/>
      <c r="B871" s="8"/>
      <c r="C871" s="8"/>
      <c r="D871" s="8"/>
      <c r="E871" s="8"/>
      <c r="F871" s="8"/>
      <c r="G871" s="8"/>
      <c r="H871" s="8"/>
      <c r="I871" s="8"/>
      <c r="J871" s="8"/>
      <c r="K871" s="8"/>
    </row>
    <row r="872" ht="15.75" customHeight="1">
      <c r="A872" s="8"/>
      <c r="B872" s="8"/>
      <c r="C872" s="8"/>
      <c r="D872" s="8"/>
      <c r="E872" s="8"/>
      <c r="F872" s="8"/>
      <c r="G872" s="8"/>
      <c r="H872" s="8"/>
      <c r="I872" s="8"/>
      <c r="J872" s="8"/>
      <c r="K872" s="8"/>
    </row>
    <row r="873" ht="15.75" customHeight="1">
      <c r="A873" s="8"/>
      <c r="B873" s="8"/>
      <c r="C873" s="8"/>
      <c r="D873" s="8"/>
      <c r="E873" s="8"/>
      <c r="F873" s="8"/>
      <c r="G873" s="8"/>
      <c r="H873" s="8"/>
      <c r="I873" s="8"/>
      <c r="J873" s="8"/>
      <c r="K873" s="8"/>
    </row>
    <row r="874" ht="15.75" customHeight="1">
      <c r="A874" s="8"/>
      <c r="B874" s="8"/>
      <c r="C874" s="8"/>
      <c r="D874" s="8"/>
      <c r="E874" s="8"/>
      <c r="F874" s="8"/>
      <c r="G874" s="8"/>
      <c r="H874" s="8"/>
      <c r="I874" s="8"/>
      <c r="J874" s="8"/>
      <c r="K874" s="8"/>
    </row>
    <row r="875" ht="15.75" customHeight="1">
      <c r="A875" s="8"/>
      <c r="B875" s="8"/>
      <c r="C875" s="8"/>
      <c r="D875" s="8"/>
      <c r="E875" s="8"/>
      <c r="F875" s="8"/>
      <c r="G875" s="8"/>
      <c r="H875" s="8"/>
      <c r="I875" s="8"/>
      <c r="J875" s="8"/>
      <c r="K875" s="8"/>
    </row>
    <row r="876" ht="15.75" customHeight="1">
      <c r="A876" s="8"/>
      <c r="B876" s="8"/>
      <c r="C876" s="8"/>
      <c r="D876" s="8"/>
      <c r="E876" s="8"/>
      <c r="F876" s="8"/>
      <c r="G876" s="8"/>
      <c r="H876" s="8"/>
      <c r="I876" s="8"/>
      <c r="J876" s="8"/>
      <c r="K876" s="8"/>
    </row>
    <row r="877" ht="15.75" customHeight="1">
      <c r="A877" s="8"/>
      <c r="B877" s="8"/>
      <c r="C877" s="8"/>
      <c r="D877" s="8"/>
      <c r="E877" s="8"/>
      <c r="F877" s="8"/>
      <c r="G877" s="8"/>
      <c r="H877" s="8"/>
      <c r="I877" s="8"/>
      <c r="J877" s="8"/>
      <c r="K877" s="8"/>
    </row>
    <row r="878" ht="15.75" customHeight="1">
      <c r="A878" s="8"/>
      <c r="B878" s="8"/>
      <c r="C878" s="8"/>
      <c r="D878" s="8"/>
      <c r="E878" s="8"/>
      <c r="F878" s="8"/>
      <c r="G878" s="8"/>
      <c r="H878" s="8"/>
      <c r="I878" s="8"/>
      <c r="J878" s="8"/>
      <c r="K878" s="8"/>
    </row>
    <row r="879" ht="15.75" customHeight="1">
      <c r="A879" s="8"/>
      <c r="B879" s="8"/>
      <c r="C879" s="8"/>
      <c r="D879" s="8"/>
      <c r="E879" s="8"/>
      <c r="F879" s="8"/>
      <c r="G879" s="8"/>
      <c r="H879" s="8"/>
      <c r="I879" s="8"/>
      <c r="J879" s="8"/>
      <c r="K879" s="8"/>
    </row>
    <row r="880" ht="15.75" customHeight="1">
      <c r="A880" s="8"/>
      <c r="B880" s="8"/>
      <c r="C880" s="8"/>
      <c r="D880" s="8"/>
      <c r="E880" s="8"/>
      <c r="F880" s="8"/>
      <c r="G880" s="8"/>
      <c r="H880" s="8"/>
      <c r="I880" s="8"/>
      <c r="J880" s="8"/>
      <c r="K880" s="8"/>
    </row>
    <row r="881" ht="15.75" customHeight="1">
      <c r="A881" s="8"/>
      <c r="B881" s="8"/>
      <c r="C881" s="8"/>
      <c r="D881" s="8"/>
      <c r="E881" s="8"/>
      <c r="F881" s="8"/>
      <c r="G881" s="8"/>
      <c r="H881" s="8"/>
      <c r="I881" s="8"/>
      <c r="J881" s="8"/>
      <c r="K881" s="8"/>
    </row>
    <row r="882" ht="15.75" customHeight="1">
      <c r="A882" s="8"/>
      <c r="B882" s="8"/>
      <c r="C882" s="8"/>
      <c r="D882" s="8"/>
      <c r="E882" s="8"/>
      <c r="F882" s="8"/>
      <c r="G882" s="8"/>
      <c r="H882" s="8"/>
      <c r="I882" s="8"/>
      <c r="J882" s="8"/>
      <c r="K882" s="8"/>
    </row>
    <row r="883" ht="15.75" customHeight="1">
      <c r="A883" s="8"/>
      <c r="B883" s="8"/>
      <c r="C883" s="8"/>
      <c r="D883" s="8"/>
      <c r="E883" s="8"/>
      <c r="F883" s="8"/>
      <c r="G883" s="8"/>
      <c r="H883" s="8"/>
      <c r="I883" s="8"/>
      <c r="J883" s="8"/>
      <c r="K883" s="8"/>
    </row>
    <row r="884" ht="15.75" customHeight="1">
      <c r="A884" s="8"/>
      <c r="B884" s="8"/>
      <c r="C884" s="8"/>
      <c r="D884" s="8"/>
      <c r="E884" s="8"/>
      <c r="F884" s="8"/>
      <c r="G884" s="8"/>
      <c r="H884" s="8"/>
      <c r="I884" s="8"/>
      <c r="J884" s="8"/>
      <c r="K884" s="8"/>
    </row>
    <row r="885" ht="15.75" customHeight="1">
      <c r="A885" s="8"/>
      <c r="B885" s="8"/>
      <c r="C885" s="8"/>
      <c r="D885" s="8"/>
      <c r="E885" s="8"/>
      <c r="F885" s="8"/>
      <c r="G885" s="8"/>
      <c r="H885" s="8"/>
      <c r="I885" s="8"/>
      <c r="J885" s="8"/>
      <c r="K885" s="8"/>
    </row>
    <row r="886" ht="15.75" customHeight="1">
      <c r="A886" s="8"/>
      <c r="B886" s="8"/>
      <c r="C886" s="8"/>
      <c r="D886" s="8"/>
      <c r="E886" s="8"/>
      <c r="F886" s="8"/>
      <c r="G886" s="8"/>
      <c r="H886" s="8"/>
      <c r="I886" s="8"/>
      <c r="J886" s="8"/>
      <c r="K886" s="8"/>
    </row>
    <row r="887" ht="15.75" customHeight="1">
      <c r="A887" s="8"/>
      <c r="B887" s="8"/>
      <c r="C887" s="8"/>
      <c r="D887" s="8"/>
      <c r="E887" s="8"/>
      <c r="F887" s="8"/>
      <c r="G887" s="8"/>
      <c r="H887" s="8"/>
      <c r="I887" s="8"/>
      <c r="J887" s="8"/>
      <c r="K887" s="8"/>
    </row>
    <row r="888" ht="15.75" customHeight="1">
      <c r="A888" s="8"/>
      <c r="B888" s="8"/>
      <c r="C888" s="8"/>
      <c r="D888" s="8"/>
      <c r="E888" s="8"/>
      <c r="F888" s="8"/>
      <c r="G888" s="8"/>
      <c r="H888" s="8"/>
      <c r="I888" s="8"/>
      <c r="J888" s="8"/>
      <c r="K888" s="8"/>
    </row>
    <row r="889" ht="15.75" customHeight="1">
      <c r="A889" s="8"/>
      <c r="B889" s="8"/>
      <c r="C889" s="8"/>
      <c r="D889" s="8"/>
      <c r="E889" s="8"/>
      <c r="F889" s="8"/>
      <c r="G889" s="8"/>
      <c r="H889" s="8"/>
      <c r="I889" s="8"/>
      <c r="J889" s="8"/>
      <c r="K889" s="8"/>
    </row>
    <row r="890" ht="15.75" customHeight="1">
      <c r="A890" s="8"/>
      <c r="B890" s="8"/>
      <c r="C890" s="8"/>
      <c r="D890" s="8"/>
      <c r="E890" s="8"/>
      <c r="F890" s="8"/>
      <c r="G890" s="8"/>
      <c r="H890" s="8"/>
      <c r="I890" s="8"/>
      <c r="J890" s="8"/>
      <c r="K890" s="8"/>
    </row>
    <row r="891" ht="15.75" customHeight="1">
      <c r="A891" s="8"/>
      <c r="B891" s="8"/>
      <c r="C891" s="8"/>
      <c r="D891" s="8"/>
      <c r="E891" s="8"/>
      <c r="F891" s="8"/>
      <c r="G891" s="8"/>
      <c r="H891" s="8"/>
      <c r="I891" s="8"/>
      <c r="J891" s="8"/>
      <c r="K891" s="8"/>
    </row>
    <row r="892" ht="15.75" customHeight="1">
      <c r="A892" s="8"/>
      <c r="B892" s="8"/>
      <c r="C892" s="8"/>
      <c r="D892" s="8"/>
      <c r="E892" s="8"/>
      <c r="F892" s="8"/>
      <c r="G892" s="8"/>
      <c r="H892" s="8"/>
      <c r="I892" s="8"/>
      <c r="J892" s="8"/>
      <c r="K892" s="8"/>
    </row>
    <row r="893" ht="15.75" customHeight="1">
      <c r="A893" s="8"/>
      <c r="B893" s="8"/>
      <c r="C893" s="8"/>
      <c r="D893" s="8"/>
      <c r="E893" s="8"/>
      <c r="F893" s="8"/>
      <c r="G893" s="8"/>
      <c r="H893" s="8"/>
      <c r="I893" s="8"/>
      <c r="J893" s="8"/>
      <c r="K893" s="8"/>
    </row>
    <row r="894" ht="15.75" customHeight="1">
      <c r="A894" s="8"/>
      <c r="B894" s="8"/>
      <c r="C894" s="8"/>
      <c r="D894" s="8"/>
      <c r="E894" s="8"/>
      <c r="F894" s="8"/>
      <c r="G894" s="8"/>
      <c r="H894" s="8"/>
      <c r="I894" s="8"/>
      <c r="J894" s="8"/>
      <c r="K894" s="8"/>
    </row>
    <row r="895" ht="15.75" customHeight="1">
      <c r="A895" s="8"/>
      <c r="B895" s="8"/>
      <c r="C895" s="8"/>
      <c r="D895" s="8"/>
      <c r="E895" s="8"/>
      <c r="F895" s="8"/>
      <c r="G895" s="8"/>
      <c r="H895" s="8"/>
      <c r="I895" s="8"/>
      <c r="J895" s="8"/>
      <c r="K895" s="8"/>
    </row>
    <row r="896" ht="15.75" customHeight="1">
      <c r="A896" s="8"/>
      <c r="B896" s="8"/>
      <c r="C896" s="8"/>
      <c r="D896" s="8"/>
      <c r="E896" s="8"/>
      <c r="F896" s="8"/>
      <c r="G896" s="8"/>
      <c r="H896" s="8"/>
      <c r="I896" s="8"/>
      <c r="J896" s="8"/>
      <c r="K896" s="8"/>
    </row>
    <row r="897" ht="15.75" customHeight="1">
      <c r="A897" s="8"/>
      <c r="B897" s="8"/>
      <c r="C897" s="8"/>
      <c r="D897" s="8"/>
      <c r="E897" s="8"/>
      <c r="F897" s="8"/>
      <c r="G897" s="8"/>
      <c r="H897" s="8"/>
      <c r="I897" s="8"/>
      <c r="J897" s="8"/>
      <c r="K897" s="8"/>
    </row>
    <row r="898" ht="15.75" customHeight="1">
      <c r="A898" s="8"/>
      <c r="B898" s="8"/>
      <c r="C898" s="8"/>
      <c r="D898" s="8"/>
      <c r="E898" s="8"/>
      <c r="F898" s="8"/>
      <c r="G898" s="8"/>
      <c r="H898" s="8"/>
      <c r="I898" s="8"/>
      <c r="J898" s="8"/>
      <c r="K898" s="8"/>
    </row>
    <row r="899" ht="15.75" customHeight="1">
      <c r="A899" s="8"/>
      <c r="B899" s="8"/>
      <c r="C899" s="8"/>
      <c r="D899" s="8"/>
      <c r="E899" s="8"/>
      <c r="F899" s="8"/>
      <c r="G899" s="8"/>
      <c r="H899" s="8"/>
      <c r="I899" s="8"/>
      <c r="J899" s="8"/>
      <c r="K899" s="8"/>
    </row>
    <row r="900" ht="15.75" customHeight="1">
      <c r="A900" s="8"/>
      <c r="B900" s="8"/>
      <c r="C900" s="8"/>
      <c r="D900" s="8"/>
      <c r="E900" s="8"/>
      <c r="F900" s="8"/>
      <c r="G900" s="8"/>
      <c r="H900" s="8"/>
      <c r="I900" s="8"/>
      <c r="J900" s="8"/>
      <c r="K900" s="8"/>
    </row>
    <row r="901" ht="15.75" customHeight="1">
      <c r="A901" s="8"/>
      <c r="B901" s="8"/>
      <c r="C901" s="8"/>
      <c r="D901" s="8"/>
      <c r="E901" s="8"/>
      <c r="F901" s="8"/>
      <c r="G901" s="8"/>
      <c r="H901" s="8"/>
      <c r="I901" s="8"/>
      <c r="J901" s="8"/>
      <c r="K901" s="8"/>
    </row>
    <row r="902" ht="15.75" customHeight="1">
      <c r="A902" s="8"/>
      <c r="B902" s="8"/>
      <c r="C902" s="8"/>
      <c r="D902" s="8"/>
      <c r="E902" s="8"/>
      <c r="F902" s="8"/>
      <c r="G902" s="8"/>
      <c r="H902" s="8"/>
      <c r="I902" s="8"/>
      <c r="J902" s="8"/>
      <c r="K902" s="8"/>
    </row>
    <row r="903" ht="15.75" customHeight="1">
      <c r="A903" s="8"/>
      <c r="B903" s="8"/>
      <c r="C903" s="8"/>
      <c r="D903" s="8"/>
      <c r="E903" s="8"/>
      <c r="F903" s="8"/>
      <c r="G903" s="8"/>
      <c r="H903" s="8"/>
      <c r="I903" s="8"/>
      <c r="J903" s="8"/>
      <c r="K903" s="8"/>
    </row>
    <row r="904" ht="15.75" customHeight="1">
      <c r="A904" s="8"/>
      <c r="B904" s="8"/>
      <c r="C904" s="8"/>
      <c r="D904" s="8"/>
      <c r="E904" s="8"/>
      <c r="F904" s="8"/>
      <c r="G904" s="8"/>
      <c r="H904" s="8"/>
      <c r="I904" s="8"/>
      <c r="J904" s="8"/>
      <c r="K904" s="8"/>
    </row>
    <row r="905" ht="15.75" customHeight="1">
      <c r="A905" s="8"/>
      <c r="B905" s="8"/>
      <c r="C905" s="8"/>
      <c r="D905" s="8"/>
      <c r="E905" s="8"/>
      <c r="F905" s="8"/>
      <c r="G905" s="8"/>
      <c r="H905" s="8"/>
      <c r="I905" s="8"/>
      <c r="J905" s="8"/>
      <c r="K905" s="8"/>
    </row>
    <row r="906" ht="15.75" customHeight="1">
      <c r="A906" s="8"/>
      <c r="B906" s="8"/>
      <c r="C906" s="8"/>
      <c r="D906" s="8"/>
      <c r="E906" s="8"/>
      <c r="F906" s="8"/>
      <c r="G906" s="8"/>
      <c r="H906" s="8"/>
      <c r="I906" s="8"/>
      <c r="J906" s="8"/>
      <c r="K906" s="8"/>
    </row>
    <row r="907" ht="15.75" customHeight="1">
      <c r="A907" s="8"/>
      <c r="B907" s="8"/>
      <c r="C907" s="8"/>
      <c r="D907" s="8"/>
      <c r="E907" s="8"/>
      <c r="F907" s="8"/>
      <c r="G907" s="8"/>
      <c r="H907" s="8"/>
      <c r="I907" s="8"/>
      <c r="J907" s="8"/>
      <c r="K907" s="8"/>
    </row>
    <row r="908" ht="15.75" customHeight="1">
      <c r="A908" s="8"/>
      <c r="B908" s="8"/>
      <c r="C908" s="8"/>
      <c r="D908" s="8"/>
      <c r="E908" s="8"/>
      <c r="F908" s="8"/>
      <c r="G908" s="8"/>
      <c r="H908" s="8"/>
      <c r="I908" s="8"/>
      <c r="J908" s="8"/>
      <c r="K908" s="8"/>
    </row>
    <row r="909" ht="15.75" customHeight="1">
      <c r="A909" s="8"/>
      <c r="B909" s="8"/>
      <c r="C909" s="8"/>
      <c r="D909" s="8"/>
      <c r="E909" s="8"/>
      <c r="F909" s="8"/>
      <c r="G909" s="8"/>
      <c r="H909" s="8"/>
      <c r="I909" s="8"/>
      <c r="J909" s="8"/>
      <c r="K909" s="8"/>
    </row>
    <row r="910" ht="15.75" customHeight="1">
      <c r="A910" s="8"/>
      <c r="B910" s="8"/>
      <c r="C910" s="8"/>
      <c r="D910" s="8"/>
      <c r="E910" s="8"/>
      <c r="F910" s="8"/>
      <c r="G910" s="8"/>
      <c r="H910" s="8"/>
      <c r="I910" s="8"/>
      <c r="J910" s="8"/>
      <c r="K910" s="8"/>
    </row>
    <row r="911" ht="15.75" customHeight="1">
      <c r="A911" s="8"/>
      <c r="B911" s="8"/>
      <c r="C911" s="8"/>
      <c r="D911" s="8"/>
      <c r="E911" s="8"/>
      <c r="F911" s="8"/>
      <c r="G911" s="8"/>
      <c r="H911" s="8"/>
      <c r="I911" s="8"/>
      <c r="J911" s="8"/>
      <c r="K911" s="8"/>
    </row>
    <row r="912" ht="15.75" customHeight="1">
      <c r="A912" s="8"/>
      <c r="B912" s="8"/>
      <c r="C912" s="8"/>
      <c r="D912" s="8"/>
      <c r="E912" s="8"/>
      <c r="F912" s="8"/>
      <c r="G912" s="8"/>
      <c r="H912" s="8"/>
      <c r="I912" s="8"/>
      <c r="J912" s="8"/>
      <c r="K912" s="8"/>
    </row>
    <row r="913" ht="15.75" customHeight="1">
      <c r="A913" s="8"/>
      <c r="B913" s="8"/>
      <c r="C913" s="8"/>
      <c r="D913" s="8"/>
      <c r="E913" s="8"/>
      <c r="F913" s="8"/>
      <c r="G913" s="8"/>
      <c r="H913" s="8"/>
      <c r="I913" s="8"/>
      <c r="J913" s="8"/>
      <c r="K913" s="8"/>
    </row>
    <row r="914" ht="15.75" customHeight="1">
      <c r="A914" s="8"/>
      <c r="B914" s="8"/>
      <c r="C914" s="8"/>
      <c r="D914" s="8"/>
      <c r="E914" s="8"/>
      <c r="F914" s="8"/>
      <c r="G914" s="8"/>
      <c r="H914" s="8"/>
      <c r="I914" s="8"/>
      <c r="J914" s="8"/>
      <c r="K914" s="8"/>
    </row>
    <row r="915" ht="15.75" customHeight="1">
      <c r="A915" s="8"/>
      <c r="B915" s="8"/>
      <c r="C915" s="8"/>
      <c r="D915" s="8"/>
      <c r="E915" s="8"/>
      <c r="F915" s="8"/>
      <c r="G915" s="8"/>
      <c r="H915" s="8"/>
      <c r="I915" s="8"/>
      <c r="J915" s="8"/>
      <c r="K915" s="8"/>
    </row>
    <row r="916" ht="15.75" customHeight="1">
      <c r="A916" s="8"/>
      <c r="B916" s="8"/>
      <c r="C916" s="8"/>
      <c r="D916" s="8"/>
      <c r="E916" s="8"/>
      <c r="F916" s="8"/>
      <c r="G916" s="8"/>
      <c r="H916" s="8"/>
      <c r="I916" s="8"/>
      <c r="J916" s="8"/>
      <c r="K916" s="8"/>
    </row>
    <row r="917" ht="15.75" customHeight="1">
      <c r="A917" s="8"/>
      <c r="B917" s="8"/>
      <c r="C917" s="8"/>
      <c r="D917" s="8"/>
      <c r="E917" s="8"/>
      <c r="F917" s="8"/>
      <c r="G917" s="8"/>
      <c r="H917" s="8"/>
      <c r="I917" s="8"/>
      <c r="J917" s="8"/>
      <c r="K917" s="8"/>
    </row>
    <row r="918" ht="15.75" customHeight="1">
      <c r="A918" s="8"/>
      <c r="B918" s="8"/>
      <c r="C918" s="8"/>
      <c r="D918" s="8"/>
      <c r="E918" s="8"/>
      <c r="F918" s="8"/>
      <c r="G918" s="8"/>
      <c r="H918" s="8"/>
      <c r="I918" s="8"/>
      <c r="J918" s="8"/>
      <c r="K918" s="8"/>
    </row>
    <row r="919" ht="15.75" customHeight="1">
      <c r="A919" s="8"/>
      <c r="B919" s="8"/>
      <c r="C919" s="8"/>
      <c r="D919" s="8"/>
      <c r="E919" s="8"/>
      <c r="F919" s="8"/>
      <c r="G919" s="8"/>
      <c r="H919" s="8"/>
      <c r="I919" s="8"/>
      <c r="J919" s="8"/>
      <c r="K919" s="8"/>
    </row>
    <row r="920" ht="15.75" customHeight="1">
      <c r="A920" s="8"/>
      <c r="B920" s="8"/>
      <c r="C920" s="8"/>
      <c r="D920" s="8"/>
      <c r="E920" s="8"/>
      <c r="F920" s="8"/>
      <c r="G920" s="8"/>
      <c r="H920" s="8"/>
      <c r="I920" s="8"/>
      <c r="J920" s="8"/>
      <c r="K920" s="8"/>
    </row>
    <row r="921" ht="15.75" customHeight="1">
      <c r="A921" s="8"/>
      <c r="B921" s="8"/>
      <c r="C921" s="8"/>
      <c r="D921" s="8"/>
      <c r="E921" s="8"/>
      <c r="F921" s="8"/>
      <c r="G921" s="8"/>
      <c r="H921" s="8"/>
      <c r="I921" s="8"/>
      <c r="J921" s="8"/>
      <c r="K921" s="8"/>
    </row>
    <row r="922" ht="15.75" customHeight="1">
      <c r="A922" s="8"/>
      <c r="B922" s="8"/>
      <c r="C922" s="8"/>
      <c r="D922" s="8"/>
      <c r="E922" s="8"/>
      <c r="F922" s="8"/>
      <c r="G922" s="8"/>
      <c r="H922" s="8"/>
      <c r="I922" s="8"/>
      <c r="J922" s="8"/>
      <c r="K922" s="8"/>
    </row>
    <row r="923" ht="15.75" customHeight="1">
      <c r="A923" s="8"/>
      <c r="B923" s="8"/>
      <c r="C923" s="8"/>
      <c r="D923" s="8"/>
      <c r="E923" s="8"/>
      <c r="F923" s="8"/>
      <c r="G923" s="8"/>
      <c r="H923" s="8"/>
      <c r="I923" s="8"/>
      <c r="J923" s="8"/>
      <c r="K923" s="8"/>
    </row>
    <row r="924" ht="15.75" customHeight="1">
      <c r="A924" s="8"/>
      <c r="B924" s="8"/>
      <c r="C924" s="8"/>
      <c r="D924" s="8"/>
      <c r="E924" s="8"/>
      <c r="F924" s="8"/>
      <c r="G924" s="8"/>
      <c r="H924" s="8"/>
      <c r="I924" s="8"/>
      <c r="J924" s="8"/>
      <c r="K924" s="8"/>
    </row>
    <row r="925" ht="15.75" customHeight="1">
      <c r="A925" s="8"/>
      <c r="B925" s="8"/>
      <c r="C925" s="8"/>
      <c r="D925" s="8"/>
      <c r="E925" s="8"/>
      <c r="F925" s="8"/>
      <c r="G925" s="8"/>
      <c r="H925" s="8"/>
      <c r="I925" s="8"/>
      <c r="J925" s="8"/>
      <c r="K925" s="8"/>
    </row>
    <row r="926" ht="15.75" customHeight="1">
      <c r="A926" s="8"/>
      <c r="B926" s="8"/>
      <c r="C926" s="8"/>
      <c r="D926" s="8"/>
      <c r="E926" s="8"/>
      <c r="F926" s="8"/>
      <c r="G926" s="8"/>
      <c r="H926" s="8"/>
      <c r="I926" s="8"/>
      <c r="J926" s="8"/>
      <c r="K926" s="8"/>
    </row>
    <row r="927" ht="15.75" customHeight="1">
      <c r="A927" s="8"/>
      <c r="B927" s="8"/>
      <c r="C927" s="8"/>
      <c r="D927" s="8"/>
      <c r="E927" s="8"/>
      <c r="F927" s="8"/>
      <c r="G927" s="8"/>
      <c r="H927" s="8"/>
      <c r="I927" s="8"/>
      <c r="J927" s="8"/>
      <c r="K927" s="8"/>
    </row>
    <row r="928" ht="15.75" customHeight="1">
      <c r="A928" s="8"/>
      <c r="B928" s="8"/>
      <c r="C928" s="8"/>
      <c r="D928" s="8"/>
      <c r="E928" s="8"/>
      <c r="F928" s="8"/>
      <c r="G928" s="8"/>
      <c r="H928" s="8"/>
      <c r="I928" s="8"/>
      <c r="J928" s="8"/>
      <c r="K928" s="8"/>
    </row>
    <row r="929" ht="15.75" customHeight="1">
      <c r="A929" s="8"/>
      <c r="B929" s="8"/>
      <c r="C929" s="8"/>
      <c r="D929" s="8"/>
      <c r="E929" s="8"/>
      <c r="F929" s="8"/>
      <c r="G929" s="8"/>
      <c r="H929" s="8"/>
      <c r="I929" s="8"/>
      <c r="J929" s="8"/>
      <c r="K929" s="8"/>
    </row>
    <row r="930" ht="15.75" customHeight="1">
      <c r="A930" s="8"/>
      <c r="B930" s="8"/>
      <c r="C930" s="8"/>
      <c r="D930" s="8"/>
      <c r="E930" s="8"/>
      <c r="F930" s="8"/>
      <c r="G930" s="8"/>
      <c r="H930" s="8"/>
      <c r="I930" s="8"/>
      <c r="J930" s="8"/>
      <c r="K930" s="8"/>
    </row>
    <row r="931" ht="15.75" customHeight="1">
      <c r="A931" s="8"/>
      <c r="B931" s="8"/>
      <c r="C931" s="8"/>
      <c r="D931" s="8"/>
      <c r="E931" s="8"/>
      <c r="F931" s="8"/>
      <c r="G931" s="8"/>
      <c r="H931" s="8"/>
      <c r="I931" s="8"/>
      <c r="J931" s="8"/>
      <c r="K931" s="8"/>
    </row>
    <row r="932" ht="15.75" customHeight="1">
      <c r="A932" s="8"/>
      <c r="B932" s="8"/>
      <c r="C932" s="8"/>
      <c r="D932" s="8"/>
      <c r="E932" s="8"/>
      <c r="F932" s="8"/>
      <c r="G932" s="8"/>
      <c r="H932" s="8"/>
      <c r="I932" s="8"/>
      <c r="J932" s="8"/>
      <c r="K932" s="8"/>
    </row>
    <row r="933" ht="15.75" customHeight="1">
      <c r="A933" s="8"/>
      <c r="B933" s="8"/>
      <c r="C933" s="8"/>
      <c r="D933" s="8"/>
      <c r="E933" s="8"/>
      <c r="F933" s="8"/>
      <c r="G933" s="8"/>
      <c r="H933" s="8"/>
      <c r="I933" s="8"/>
      <c r="J933" s="8"/>
      <c r="K933" s="8"/>
    </row>
    <row r="934" ht="15.75" customHeight="1">
      <c r="A934" s="8"/>
      <c r="B934" s="8"/>
      <c r="C934" s="8"/>
      <c r="D934" s="8"/>
      <c r="E934" s="8"/>
      <c r="F934" s="8"/>
      <c r="G934" s="8"/>
      <c r="H934" s="8"/>
      <c r="I934" s="8"/>
      <c r="J934" s="8"/>
      <c r="K934" s="8"/>
    </row>
    <row r="935" ht="15.75" customHeight="1">
      <c r="A935" s="8"/>
      <c r="B935" s="8"/>
      <c r="C935" s="8"/>
      <c r="D935" s="8"/>
      <c r="E935" s="8"/>
      <c r="F935" s="8"/>
      <c r="G935" s="8"/>
      <c r="H935" s="8"/>
      <c r="I935" s="8"/>
      <c r="J935" s="8"/>
      <c r="K935" s="8"/>
    </row>
    <row r="936" ht="15.75" customHeight="1">
      <c r="A936" s="8"/>
      <c r="B936" s="8"/>
      <c r="C936" s="8"/>
      <c r="D936" s="8"/>
      <c r="E936" s="8"/>
      <c r="F936" s="8"/>
      <c r="G936" s="8"/>
      <c r="H936" s="8"/>
      <c r="I936" s="8"/>
      <c r="J936" s="8"/>
      <c r="K936" s="8"/>
    </row>
    <row r="937" ht="15.75" customHeight="1">
      <c r="A937" s="8"/>
      <c r="B937" s="8"/>
      <c r="C937" s="8"/>
      <c r="D937" s="8"/>
      <c r="E937" s="8"/>
      <c r="F937" s="8"/>
      <c r="G937" s="8"/>
      <c r="H937" s="8"/>
      <c r="I937" s="8"/>
      <c r="J937" s="8"/>
      <c r="K937" s="8"/>
    </row>
    <row r="938" ht="15.75" customHeight="1">
      <c r="A938" s="8"/>
      <c r="B938" s="8"/>
      <c r="C938" s="8"/>
      <c r="D938" s="8"/>
      <c r="E938" s="8"/>
      <c r="F938" s="8"/>
      <c r="G938" s="8"/>
      <c r="H938" s="8"/>
      <c r="I938" s="8"/>
      <c r="J938" s="8"/>
      <c r="K938" s="8"/>
    </row>
    <row r="939" ht="15.75" customHeight="1">
      <c r="A939" s="8"/>
      <c r="B939" s="8"/>
      <c r="C939" s="8"/>
      <c r="D939" s="8"/>
      <c r="E939" s="8"/>
      <c r="F939" s="8"/>
      <c r="G939" s="8"/>
      <c r="H939" s="8"/>
      <c r="I939" s="8"/>
      <c r="J939" s="8"/>
      <c r="K939" s="8"/>
    </row>
    <row r="940" ht="15.75" customHeight="1">
      <c r="A940" s="8"/>
      <c r="B940" s="8"/>
      <c r="C940" s="8"/>
      <c r="D940" s="8"/>
      <c r="E940" s="8"/>
      <c r="F940" s="8"/>
      <c r="G940" s="8"/>
      <c r="H940" s="8"/>
      <c r="I940" s="8"/>
      <c r="J940" s="8"/>
      <c r="K940" s="8"/>
    </row>
    <row r="941" ht="15.75" customHeight="1">
      <c r="A941" s="8"/>
      <c r="B941" s="8"/>
      <c r="C941" s="8"/>
      <c r="D941" s="8"/>
      <c r="E941" s="8"/>
      <c r="F941" s="8"/>
      <c r="G941" s="8"/>
      <c r="H941" s="8"/>
      <c r="I941" s="8"/>
      <c r="J941" s="8"/>
      <c r="K941" s="8"/>
    </row>
    <row r="942" ht="15.75" customHeight="1">
      <c r="A942" s="8"/>
      <c r="B942" s="8"/>
      <c r="C942" s="8"/>
      <c r="D942" s="8"/>
      <c r="E942" s="8"/>
      <c r="F942" s="8"/>
      <c r="G942" s="8"/>
      <c r="H942" s="8"/>
      <c r="I942" s="8"/>
      <c r="J942" s="8"/>
      <c r="K942" s="8"/>
    </row>
    <row r="943" ht="15.75" customHeight="1">
      <c r="A943" s="8"/>
      <c r="B943" s="8"/>
      <c r="C943" s="8"/>
      <c r="D943" s="8"/>
      <c r="E943" s="8"/>
      <c r="F943" s="8"/>
      <c r="G943" s="8"/>
      <c r="H943" s="8"/>
      <c r="I943" s="8"/>
      <c r="J943" s="8"/>
      <c r="K943" s="8"/>
    </row>
    <row r="944" ht="15.75" customHeight="1">
      <c r="A944" s="8"/>
      <c r="B944" s="8"/>
      <c r="C944" s="8"/>
      <c r="D944" s="8"/>
      <c r="E944" s="8"/>
      <c r="F944" s="8"/>
      <c r="G944" s="8"/>
      <c r="H944" s="8"/>
      <c r="I944" s="8"/>
      <c r="J944" s="8"/>
      <c r="K944" s="8"/>
    </row>
    <row r="945" ht="15.75" customHeight="1">
      <c r="A945" s="8"/>
      <c r="B945" s="8"/>
      <c r="C945" s="8"/>
      <c r="D945" s="8"/>
      <c r="E945" s="8"/>
      <c r="F945" s="8"/>
      <c r="G945" s="8"/>
      <c r="H945" s="8"/>
      <c r="I945" s="8"/>
      <c r="J945" s="8"/>
      <c r="K945" s="8"/>
    </row>
    <row r="946" ht="15.75" customHeight="1">
      <c r="A946" s="8"/>
      <c r="B946" s="8"/>
      <c r="C946" s="8"/>
      <c r="D946" s="8"/>
      <c r="E946" s="8"/>
      <c r="F946" s="8"/>
      <c r="G946" s="8"/>
      <c r="H946" s="8"/>
      <c r="I946" s="8"/>
      <c r="J946" s="8"/>
      <c r="K946" s="8"/>
    </row>
    <row r="947" ht="15.75" customHeight="1">
      <c r="A947" s="8"/>
      <c r="B947" s="8"/>
      <c r="C947" s="8"/>
      <c r="D947" s="8"/>
      <c r="E947" s="8"/>
      <c r="F947" s="8"/>
      <c r="G947" s="8"/>
      <c r="H947" s="8"/>
      <c r="I947" s="8"/>
      <c r="J947" s="8"/>
      <c r="K947" s="8"/>
    </row>
    <row r="948" ht="15.75" customHeight="1">
      <c r="A948" s="8"/>
      <c r="B948" s="8"/>
      <c r="C948" s="8"/>
      <c r="D948" s="8"/>
      <c r="E948" s="8"/>
      <c r="F948" s="8"/>
      <c r="G948" s="8"/>
      <c r="H948" s="8"/>
      <c r="I948" s="8"/>
      <c r="J948" s="8"/>
      <c r="K948" s="8"/>
    </row>
    <row r="949" ht="15.75" customHeight="1">
      <c r="A949" s="8"/>
      <c r="B949" s="8"/>
      <c r="C949" s="8"/>
      <c r="D949" s="8"/>
      <c r="E949" s="8"/>
      <c r="F949" s="8"/>
      <c r="G949" s="8"/>
      <c r="H949" s="8"/>
      <c r="I949" s="8"/>
      <c r="J949" s="8"/>
      <c r="K949" s="8"/>
    </row>
    <row r="950" ht="15.75" customHeight="1">
      <c r="A950" s="8"/>
      <c r="B950" s="8"/>
      <c r="C950" s="8"/>
      <c r="D950" s="8"/>
      <c r="E950" s="8"/>
      <c r="F950" s="8"/>
      <c r="G950" s="8"/>
      <c r="H950" s="8"/>
      <c r="I950" s="8"/>
      <c r="J950" s="8"/>
      <c r="K950" s="8"/>
    </row>
    <row r="951" ht="15.75" customHeight="1">
      <c r="A951" s="8"/>
      <c r="B951" s="8"/>
      <c r="C951" s="8"/>
      <c r="D951" s="8"/>
      <c r="E951" s="8"/>
      <c r="F951" s="8"/>
      <c r="G951" s="8"/>
      <c r="H951" s="8"/>
      <c r="I951" s="8"/>
      <c r="J951" s="8"/>
      <c r="K951" s="8"/>
    </row>
    <row r="952" ht="15.75" customHeight="1">
      <c r="A952" s="8"/>
      <c r="B952" s="8"/>
      <c r="C952" s="8"/>
      <c r="D952" s="8"/>
      <c r="E952" s="8"/>
      <c r="F952" s="8"/>
      <c r="G952" s="8"/>
      <c r="H952" s="8"/>
      <c r="I952" s="8"/>
      <c r="J952" s="8"/>
      <c r="K952" s="8"/>
    </row>
    <row r="953" ht="15.75" customHeight="1">
      <c r="A953" s="8"/>
      <c r="B953" s="8"/>
      <c r="C953" s="8"/>
      <c r="D953" s="8"/>
      <c r="E953" s="8"/>
      <c r="F953" s="8"/>
      <c r="G953" s="8"/>
      <c r="H953" s="8"/>
      <c r="I953" s="8"/>
      <c r="J953" s="8"/>
      <c r="K953" s="8"/>
    </row>
    <row r="954" ht="15.75" customHeight="1">
      <c r="A954" s="8"/>
      <c r="B954" s="8"/>
      <c r="C954" s="8"/>
      <c r="D954" s="8"/>
      <c r="E954" s="8"/>
      <c r="F954" s="8"/>
      <c r="G954" s="8"/>
      <c r="H954" s="8"/>
      <c r="I954" s="8"/>
      <c r="J954" s="8"/>
      <c r="K954" s="8"/>
    </row>
    <row r="955" ht="15.75" customHeight="1">
      <c r="A955" s="8"/>
      <c r="B955" s="8"/>
      <c r="C955" s="8"/>
      <c r="D955" s="8"/>
      <c r="E955" s="8"/>
      <c r="F955" s="8"/>
      <c r="G955" s="8"/>
      <c r="H955" s="8"/>
      <c r="I955" s="8"/>
      <c r="J955" s="8"/>
      <c r="K955" s="8"/>
    </row>
    <row r="956" ht="15.75" customHeight="1">
      <c r="A956" s="8"/>
      <c r="B956" s="8"/>
      <c r="C956" s="8"/>
      <c r="D956" s="8"/>
      <c r="E956" s="8"/>
      <c r="F956" s="8"/>
      <c r="G956" s="8"/>
      <c r="H956" s="8"/>
      <c r="I956" s="8"/>
      <c r="J956" s="8"/>
      <c r="K956" s="8"/>
    </row>
    <row r="957" ht="15.75" customHeight="1">
      <c r="A957" s="8"/>
      <c r="B957" s="8"/>
      <c r="C957" s="8"/>
      <c r="D957" s="8"/>
      <c r="E957" s="8"/>
      <c r="F957" s="8"/>
      <c r="G957" s="8"/>
      <c r="H957" s="8"/>
      <c r="I957" s="8"/>
      <c r="J957" s="8"/>
      <c r="K957" s="8"/>
    </row>
    <row r="958" ht="15.75" customHeight="1">
      <c r="A958" s="8"/>
      <c r="B958" s="8"/>
      <c r="C958" s="8"/>
      <c r="D958" s="8"/>
      <c r="E958" s="8"/>
      <c r="F958" s="8"/>
      <c r="G958" s="8"/>
      <c r="H958" s="8"/>
      <c r="I958" s="8"/>
      <c r="J958" s="8"/>
      <c r="K958" s="8"/>
    </row>
    <row r="959" ht="15.75" customHeight="1">
      <c r="A959" s="8"/>
      <c r="B959" s="8"/>
      <c r="C959" s="8"/>
      <c r="D959" s="8"/>
      <c r="E959" s="8"/>
      <c r="F959" s="8"/>
      <c r="G959" s="8"/>
      <c r="H959" s="8"/>
      <c r="I959" s="8"/>
      <c r="J959" s="8"/>
      <c r="K959" s="8"/>
    </row>
    <row r="960" ht="15.75" customHeight="1">
      <c r="A960" s="8"/>
      <c r="B960" s="8"/>
      <c r="C960" s="8"/>
      <c r="D960" s="8"/>
      <c r="E960" s="8"/>
      <c r="F960" s="8"/>
      <c r="G960" s="8"/>
      <c r="H960" s="8"/>
      <c r="I960" s="8"/>
      <c r="J960" s="8"/>
      <c r="K960" s="8"/>
    </row>
    <row r="961" ht="15.75" customHeight="1">
      <c r="A961" s="8"/>
      <c r="B961" s="8"/>
      <c r="C961" s="8"/>
      <c r="D961" s="8"/>
      <c r="E961" s="8"/>
      <c r="F961" s="8"/>
      <c r="G961" s="8"/>
      <c r="H961" s="8"/>
      <c r="I961" s="8"/>
      <c r="J961" s="8"/>
      <c r="K961" s="8"/>
    </row>
    <row r="962" ht="15.75" customHeight="1">
      <c r="A962" s="8"/>
      <c r="B962" s="8"/>
      <c r="C962" s="8"/>
      <c r="D962" s="8"/>
      <c r="E962" s="8"/>
      <c r="F962" s="8"/>
      <c r="G962" s="8"/>
      <c r="H962" s="8"/>
      <c r="I962" s="8"/>
      <c r="J962" s="8"/>
      <c r="K962" s="8"/>
    </row>
    <row r="963" ht="15.75" customHeight="1">
      <c r="A963" s="8"/>
      <c r="B963" s="8"/>
      <c r="C963" s="8"/>
      <c r="D963" s="8"/>
      <c r="E963" s="8"/>
      <c r="F963" s="8"/>
      <c r="G963" s="8"/>
      <c r="H963" s="8"/>
      <c r="I963" s="8"/>
      <c r="J963" s="8"/>
      <c r="K963" s="8"/>
    </row>
    <row r="964" ht="15.75" customHeight="1">
      <c r="A964" s="8"/>
      <c r="B964" s="8"/>
      <c r="C964" s="8"/>
      <c r="D964" s="8"/>
      <c r="E964" s="8"/>
      <c r="F964" s="8"/>
      <c r="G964" s="8"/>
      <c r="H964" s="8"/>
      <c r="I964" s="8"/>
      <c r="J964" s="8"/>
      <c r="K964" s="8"/>
    </row>
    <row r="965" ht="15.75" customHeight="1">
      <c r="A965" s="8"/>
      <c r="B965" s="8"/>
      <c r="C965" s="8"/>
      <c r="D965" s="8"/>
      <c r="E965" s="8"/>
      <c r="F965" s="8"/>
      <c r="G965" s="8"/>
      <c r="H965" s="8"/>
      <c r="I965" s="8"/>
      <c r="J965" s="8"/>
      <c r="K965" s="8"/>
    </row>
    <row r="966" ht="15.75" customHeight="1">
      <c r="A966" s="8"/>
      <c r="B966" s="8"/>
      <c r="C966" s="8"/>
      <c r="D966" s="8"/>
      <c r="E966" s="8"/>
      <c r="F966" s="8"/>
      <c r="G966" s="8"/>
      <c r="H966" s="8"/>
      <c r="I966" s="8"/>
      <c r="J966" s="8"/>
      <c r="K966" s="8"/>
    </row>
    <row r="967" ht="15.75" customHeight="1">
      <c r="A967" s="8"/>
      <c r="B967" s="8"/>
      <c r="C967" s="8"/>
      <c r="D967" s="8"/>
      <c r="E967" s="8"/>
      <c r="F967" s="8"/>
      <c r="G967" s="8"/>
      <c r="H967" s="8"/>
      <c r="I967" s="8"/>
      <c r="J967" s="8"/>
      <c r="K967" s="8"/>
    </row>
    <row r="968" ht="15.75" customHeight="1">
      <c r="A968" s="8"/>
      <c r="B968" s="8"/>
      <c r="C968" s="8"/>
      <c r="D968" s="8"/>
      <c r="E968" s="8"/>
      <c r="F968" s="8"/>
      <c r="G968" s="8"/>
      <c r="H968" s="8"/>
      <c r="I968" s="8"/>
      <c r="J968" s="8"/>
      <c r="K968" s="8"/>
    </row>
    <row r="969" ht="15.75" customHeight="1">
      <c r="A969" s="8"/>
      <c r="B969" s="8"/>
      <c r="C969" s="8"/>
      <c r="D969" s="8"/>
      <c r="E969" s="8"/>
      <c r="F969" s="8"/>
      <c r="G969" s="8"/>
      <c r="H969" s="8"/>
      <c r="I969" s="8"/>
      <c r="J969" s="8"/>
      <c r="K969" s="8"/>
    </row>
    <row r="970" ht="15.75" customHeight="1">
      <c r="A970" s="8"/>
      <c r="B970" s="8"/>
      <c r="C970" s="8"/>
      <c r="D970" s="8"/>
      <c r="E970" s="8"/>
      <c r="F970" s="8"/>
      <c r="G970" s="8"/>
      <c r="H970" s="8"/>
      <c r="I970" s="8"/>
      <c r="J970" s="8"/>
      <c r="K970" s="8"/>
    </row>
    <row r="971" ht="15.75" customHeight="1">
      <c r="A971" s="8"/>
      <c r="B971" s="8"/>
      <c r="C971" s="8"/>
      <c r="D971" s="8"/>
      <c r="E971" s="8"/>
      <c r="F971" s="8"/>
      <c r="G971" s="8"/>
      <c r="H971" s="8"/>
      <c r="I971" s="8"/>
      <c r="J971" s="8"/>
      <c r="K971" s="8"/>
    </row>
    <row r="972" ht="15.75" customHeight="1">
      <c r="A972" s="8"/>
      <c r="B972" s="8"/>
      <c r="C972" s="8"/>
      <c r="D972" s="8"/>
      <c r="E972" s="8"/>
      <c r="F972" s="8"/>
      <c r="G972" s="8"/>
      <c r="H972" s="8"/>
      <c r="I972" s="8"/>
      <c r="J972" s="8"/>
      <c r="K972" s="8"/>
    </row>
    <row r="973" ht="15.75" customHeight="1">
      <c r="A973" s="8"/>
      <c r="B973" s="8"/>
      <c r="C973" s="8"/>
      <c r="D973" s="8"/>
      <c r="E973" s="8"/>
      <c r="F973" s="8"/>
      <c r="G973" s="8"/>
      <c r="H973" s="8"/>
      <c r="I973" s="8"/>
      <c r="J973" s="8"/>
      <c r="K973" s="8"/>
    </row>
    <row r="974" ht="15.75" customHeight="1">
      <c r="A974" s="8"/>
      <c r="B974" s="8"/>
      <c r="C974" s="8"/>
      <c r="D974" s="8"/>
      <c r="E974" s="8"/>
      <c r="F974" s="8"/>
      <c r="G974" s="8"/>
      <c r="H974" s="8"/>
      <c r="I974" s="8"/>
      <c r="J974" s="8"/>
      <c r="K974" s="8"/>
    </row>
    <row r="975" ht="15.75" customHeight="1">
      <c r="A975" s="8"/>
      <c r="B975" s="8"/>
      <c r="C975" s="8"/>
      <c r="D975" s="8"/>
      <c r="E975" s="8"/>
      <c r="F975" s="8"/>
      <c r="G975" s="8"/>
      <c r="H975" s="8"/>
      <c r="I975" s="8"/>
      <c r="J975" s="8"/>
      <c r="K975" s="8"/>
    </row>
    <row r="976" ht="15.75" customHeight="1">
      <c r="A976" s="8"/>
      <c r="B976" s="8"/>
      <c r="C976" s="8"/>
      <c r="D976" s="8"/>
      <c r="E976" s="8"/>
      <c r="F976" s="8"/>
      <c r="G976" s="8"/>
      <c r="H976" s="8"/>
      <c r="I976" s="8"/>
      <c r="J976" s="8"/>
      <c r="K976" s="8"/>
    </row>
    <row r="977" ht="15.75" customHeight="1">
      <c r="A977" s="8"/>
      <c r="B977" s="8"/>
      <c r="C977" s="8"/>
      <c r="D977" s="8"/>
      <c r="E977" s="8"/>
      <c r="F977" s="8"/>
      <c r="G977" s="8"/>
      <c r="H977" s="8"/>
      <c r="I977" s="8"/>
      <c r="J977" s="8"/>
      <c r="K977" s="8"/>
    </row>
    <row r="978" ht="15.75" customHeight="1">
      <c r="A978" s="8"/>
      <c r="B978" s="8"/>
      <c r="C978" s="8"/>
      <c r="D978" s="8"/>
      <c r="E978" s="8"/>
      <c r="F978" s="8"/>
      <c r="G978" s="8"/>
      <c r="H978" s="8"/>
      <c r="I978" s="8"/>
      <c r="J978" s="8"/>
      <c r="K978" s="8"/>
    </row>
    <row r="979" ht="15.75" customHeight="1">
      <c r="A979" s="8"/>
      <c r="B979" s="8"/>
      <c r="C979" s="8"/>
      <c r="D979" s="8"/>
      <c r="E979" s="8"/>
      <c r="F979" s="8"/>
      <c r="G979" s="8"/>
      <c r="H979" s="8"/>
      <c r="I979" s="8"/>
      <c r="J979" s="8"/>
      <c r="K979" s="8"/>
    </row>
    <row r="980" ht="15.75" customHeight="1">
      <c r="A980" s="8"/>
      <c r="B980" s="8"/>
      <c r="C980" s="8"/>
      <c r="D980" s="8"/>
      <c r="E980" s="8"/>
      <c r="F980" s="8"/>
      <c r="G980" s="8"/>
      <c r="H980" s="8"/>
      <c r="I980" s="8"/>
      <c r="J980" s="8"/>
      <c r="K980" s="8"/>
    </row>
    <row r="981" ht="15.75" customHeight="1">
      <c r="A981" s="8"/>
      <c r="B981" s="8"/>
      <c r="C981" s="8"/>
      <c r="D981" s="8"/>
      <c r="E981" s="8"/>
      <c r="F981" s="8"/>
      <c r="G981" s="8"/>
      <c r="H981" s="8"/>
      <c r="I981" s="8"/>
      <c r="J981" s="8"/>
      <c r="K981" s="8"/>
    </row>
    <row r="982" ht="15.75" customHeight="1">
      <c r="A982" s="8"/>
      <c r="B982" s="8"/>
      <c r="C982" s="8"/>
      <c r="D982" s="8"/>
      <c r="E982" s="8"/>
      <c r="F982" s="8"/>
      <c r="G982" s="8"/>
      <c r="H982" s="8"/>
      <c r="I982" s="8"/>
      <c r="J982" s="8"/>
      <c r="K982" s="8"/>
    </row>
    <row r="983" ht="15.75" customHeight="1">
      <c r="A983" s="8"/>
      <c r="B983" s="8"/>
      <c r="C983" s="8"/>
      <c r="D983" s="8"/>
      <c r="E983" s="8"/>
      <c r="F983" s="8"/>
      <c r="G983" s="8"/>
      <c r="H983" s="8"/>
      <c r="I983" s="8"/>
      <c r="J983" s="8"/>
      <c r="K983" s="8"/>
    </row>
    <row r="984" ht="15.75" customHeight="1">
      <c r="A984" s="8"/>
      <c r="B984" s="8"/>
      <c r="C984" s="8"/>
      <c r="D984" s="8"/>
      <c r="E984" s="8"/>
      <c r="F984" s="8"/>
      <c r="G984" s="8"/>
      <c r="H984" s="8"/>
      <c r="I984" s="8"/>
      <c r="J984" s="8"/>
      <c r="K984" s="8"/>
    </row>
    <row r="985" ht="15.75" customHeight="1">
      <c r="A985" s="8"/>
      <c r="B985" s="8"/>
      <c r="C985" s="8"/>
      <c r="D985" s="8"/>
      <c r="E985" s="8"/>
      <c r="F985" s="8"/>
      <c r="G985" s="8"/>
      <c r="H985" s="8"/>
      <c r="I985" s="8"/>
      <c r="J985" s="8"/>
      <c r="K985" s="8"/>
    </row>
    <row r="986" ht="15.75" customHeight="1">
      <c r="A986" s="8"/>
      <c r="B986" s="8"/>
      <c r="C986" s="8"/>
      <c r="D986" s="8"/>
      <c r="E986" s="8"/>
      <c r="F986" s="8"/>
      <c r="G986" s="8"/>
      <c r="H986" s="8"/>
      <c r="I986" s="8"/>
      <c r="J986" s="8"/>
      <c r="K986" s="8"/>
    </row>
    <row r="987" ht="15.75" customHeight="1">
      <c r="A987" s="8"/>
      <c r="B987" s="8"/>
      <c r="C987" s="8"/>
      <c r="D987" s="8"/>
      <c r="E987" s="8"/>
      <c r="F987" s="8"/>
      <c r="G987" s="8"/>
      <c r="H987" s="8"/>
      <c r="I987" s="8"/>
      <c r="J987" s="8"/>
      <c r="K987" s="8"/>
    </row>
    <row r="988" ht="15.75" customHeight="1">
      <c r="A988" s="8"/>
      <c r="B988" s="8"/>
      <c r="C988" s="8"/>
      <c r="D988" s="8"/>
      <c r="E988" s="8"/>
      <c r="F988" s="8"/>
      <c r="G988" s="8"/>
      <c r="H988" s="8"/>
      <c r="I988" s="8"/>
      <c r="J988" s="8"/>
      <c r="K988" s="8"/>
    </row>
    <row r="989" ht="15.75" customHeight="1">
      <c r="A989" s="8"/>
      <c r="B989" s="8"/>
      <c r="C989" s="8"/>
      <c r="D989" s="8"/>
      <c r="E989" s="8"/>
      <c r="F989" s="8"/>
      <c r="G989" s="8"/>
      <c r="H989" s="8"/>
      <c r="I989" s="8"/>
      <c r="J989" s="8"/>
      <c r="K989" s="8"/>
    </row>
    <row r="990" ht="15.75" customHeight="1">
      <c r="A990" s="8"/>
      <c r="B990" s="8"/>
      <c r="C990" s="8"/>
      <c r="D990" s="8"/>
      <c r="E990" s="8"/>
      <c r="F990" s="8"/>
      <c r="G990" s="8"/>
      <c r="H990" s="8"/>
      <c r="I990" s="8"/>
      <c r="J990" s="8"/>
      <c r="K990" s="8"/>
    </row>
    <row r="991" ht="15.75" customHeight="1">
      <c r="A991" s="8"/>
      <c r="B991" s="8"/>
      <c r="C991" s="8"/>
      <c r="D991" s="8"/>
      <c r="E991" s="8"/>
      <c r="F991" s="8"/>
      <c r="G991" s="8"/>
      <c r="H991" s="8"/>
      <c r="I991" s="8"/>
      <c r="J991" s="8"/>
      <c r="K991" s="8"/>
    </row>
    <row r="992" ht="15.75" customHeight="1">
      <c r="A992" s="8"/>
      <c r="B992" s="8"/>
      <c r="C992" s="8"/>
      <c r="D992" s="8"/>
      <c r="E992" s="8"/>
      <c r="F992" s="8"/>
      <c r="G992" s="8"/>
      <c r="H992" s="8"/>
      <c r="I992" s="8"/>
      <c r="J992" s="8"/>
      <c r="K992" s="8"/>
    </row>
    <row r="993" ht="15.75" customHeight="1">
      <c r="A993" s="8"/>
      <c r="B993" s="8"/>
      <c r="C993" s="8"/>
      <c r="D993" s="8"/>
      <c r="E993" s="8"/>
      <c r="F993" s="8"/>
      <c r="G993" s="8"/>
      <c r="H993" s="8"/>
      <c r="I993" s="8"/>
      <c r="J993" s="8"/>
      <c r="K993" s="8"/>
    </row>
    <row r="994" ht="15.75" customHeight="1">
      <c r="A994" s="8"/>
      <c r="B994" s="8"/>
      <c r="C994" s="8"/>
      <c r="D994" s="8"/>
      <c r="E994" s="8"/>
      <c r="F994" s="8"/>
      <c r="G994" s="8"/>
      <c r="H994" s="8"/>
      <c r="I994" s="8"/>
      <c r="J994" s="8"/>
      <c r="K994" s="8"/>
    </row>
    <row r="995" ht="15.75" customHeight="1">
      <c r="A995" s="8"/>
      <c r="B995" s="8"/>
      <c r="C995" s="8"/>
      <c r="D995" s="8"/>
      <c r="E995" s="8"/>
      <c r="F995" s="8"/>
      <c r="G995" s="8"/>
      <c r="H995" s="8"/>
      <c r="I995" s="8"/>
      <c r="J995" s="8"/>
      <c r="K995" s="8"/>
    </row>
    <row r="996" ht="15.75" customHeight="1">
      <c r="A996" s="8"/>
      <c r="B996" s="8"/>
      <c r="C996" s="8"/>
      <c r="D996" s="8"/>
      <c r="E996" s="8"/>
      <c r="F996" s="8"/>
      <c r="G996" s="8"/>
      <c r="H996" s="8"/>
      <c r="I996" s="8"/>
      <c r="J996" s="8"/>
      <c r="K996" s="8"/>
    </row>
    <row r="997" ht="15.75" customHeight="1">
      <c r="A997" s="8"/>
      <c r="B997" s="8"/>
      <c r="C997" s="8"/>
      <c r="D997" s="8"/>
      <c r="E997" s="8"/>
      <c r="F997" s="8"/>
      <c r="G997" s="8"/>
      <c r="H997" s="8"/>
      <c r="I997" s="8"/>
      <c r="J997" s="8"/>
      <c r="K997" s="8"/>
    </row>
    <row r="998" ht="15.75" customHeight="1">
      <c r="A998" s="8"/>
      <c r="B998" s="8"/>
      <c r="C998" s="8"/>
      <c r="D998" s="8"/>
      <c r="E998" s="8"/>
      <c r="F998" s="8"/>
      <c r="G998" s="8"/>
      <c r="H998" s="8"/>
      <c r="I998" s="8"/>
      <c r="J998" s="8"/>
      <c r="K998" s="8"/>
    </row>
    <row r="999" ht="15.75" customHeight="1">
      <c r="A999" s="8"/>
      <c r="B999" s="8"/>
      <c r="C999" s="8"/>
      <c r="D999" s="8"/>
      <c r="E999" s="8"/>
      <c r="F999" s="8"/>
      <c r="G999" s="8"/>
      <c r="H999" s="8"/>
      <c r="I999" s="8"/>
      <c r="J999" s="8"/>
      <c r="K999" s="8"/>
    </row>
    <row r="1000" ht="15.75" customHeight="1">
      <c r="A1000" s="8"/>
      <c r="B1000" s="8"/>
      <c r="C1000" s="8"/>
      <c r="D1000" s="8"/>
      <c r="E1000" s="8"/>
      <c r="F1000" s="8"/>
      <c r="G1000" s="8"/>
      <c r="H1000" s="8"/>
      <c r="I1000" s="8"/>
      <c r="J1000" s="8"/>
      <c r="K1000" s="8"/>
    </row>
  </sheetData>
  <customSheetViews>
    <customSheetView guid="{B464B3FA-D15F-4AB4-9960-E3BD9DDD104F}" filter="1" showAutoFilter="1">
      <autoFilter ref="$A$2:$J$6"/>
    </customSheetView>
    <customSheetView guid="{7A81022D-E914-4136-86F3-E62CD62EF7DF}" filter="1" showAutoFilter="1">
      <autoFilter ref="$A$9:$K$355"/>
    </customSheetView>
    <customSheetView guid="{E4CEDF88-C699-4072-8889-EEAF7B2F7552}" filter="1" showAutoFilter="1">
      <autoFilter ref="$A$358:$H$369"/>
    </customSheetView>
  </customSheetViews>
  <dataValidations>
    <dataValidation type="list" allowBlank="1" sqref="D10:D355">
      <formula1>"GOI-CB,GOI-PRO,GOI-KH"</formula1>
    </dataValidation>
    <dataValidation type="list" allowBlank="1" sqref="E10:E355">
      <formula1>"Có,Không,Có điều kiện"</formula1>
    </dataValidation>
  </dataValidations>
  <printOptions/>
  <pageMargins bottom="1.0" footer="0.0" header="0.0" left="0.75" right="0.75" top="1.0"/>
  <pageSetup orientation="landscape"/>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hidden="1" min="1" max="1" width="3.71"/>
    <col customWidth="1" min="2" max="2" width="8.0"/>
    <col customWidth="1" min="3" max="3" width="14.43"/>
    <col customWidth="1" min="4" max="4" width="31.57"/>
    <col customWidth="1" min="5" max="5" width="23.0"/>
    <col customWidth="1" min="6" max="6" width="18.71"/>
    <col customWidth="1" hidden="1" min="7" max="7" width="33.0"/>
    <col customWidth="1" min="8" max="8" width="54.43"/>
    <col customWidth="1" min="9" max="9" width="20.14"/>
  </cols>
  <sheetData>
    <row r="2">
      <c r="A2" s="20"/>
      <c r="B2" s="21" t="s">
        <v>445</v>
      </c>
      <c r="C2" s="22"/>
      <c r="D2" s="23" t="s">
        <v>448</v>
      </c>
      <c r="E2" s="24"/>
      <c r="F2" s="25" t="s">
        <v>451</v>
      </c>
      <c r="G2" s="26"/>
      <c r="H2" s="27" t="s">
        <v>454</v>
      </c>
      <c r="I2" s="28"/>
      <c r="J2" s="20"/>
      <c r="K2" s="20"/>
      <c r="L2" s="20"/>
      <c r="M2" s="20"/>
      <c r="N2" s="20"/>
      <c r="O2" s="20"/>
      <c r="P2" s="20"/>
      <c r="Q2" s="20"/>
      <c r="R2" s="20"/>
      <c r="S2" s="20"/>
      <c r="T2" s="20"/>
      <c r="U2" s="20"/>
      <c r="V2" s="20"/>
      <c r="W2" s="20"/>
      <c r="X2" s="20"/>
      <c r="Y2" s="20"/>
      <c r="Z2" s="20"/>
    </row>
    <row r="3">
      <c r="A3" s="20"/>
      <c r="B3" s="29">
        <f>COUNTA(C7:C28)</f>
        <v>22</v>
      </c>
      <c r="C3" s="30"/>
      <c r="D3" s="31">
        <f>COUNTIF(E7:E28, "Khớp*")</f>
        <v>13</v>
      </c>
      <c r="E3" s="32"/>
      <c r="F3" s="33">
        <f>COUNTIF(E7:E28, "Thiếu sót nhỏ*")</f>
        <v>6</v>
      </c>
      <c r="G3" s="34"/>
      <c r="H3" s="35">
        <f>COUNTIF(E7:E28, "Chưa đúng*")</f>
        <v>3</v>
      </c>
      <c r="I3" s="36"/>
      <c r="J3" s="20"/>
      <c r="K3" s="20"/>
      <c r="L3" s="20"/>
      <c r="M3" s="20"/>
      <c r="N3" s="20"/>
      <c r="O3" s="20"/>
      <c r="P3" s="20"/>
      <c r="Q3" s="20"/>
      <c r="R3" s="20"/>
      <c r="S3" s="20"/>
      <c r="T3" s="20"/>
      <c r="U3" s="20"/>
      <c r="V3" s="20"/>
      <c r="W3" s="20"/>
      <c r="X3" s="20"/>
      <c r="Y3" s="20"/>
      <c r="Z3" s="20"/>
    </row>
    <row r="4">
      <c r="A4" s="20"/>
      <c r="B4" s="37" t="s">
        <v>475</v>
      </c>
      <c r="C4" s="38"/>
      <c r="D4" s="39" t="str">
        <f>IF(B3&gt;0, TEXT(D3/B3, "0.0%") &amp; " đạt chuẩn", "0%")</f>
        <v>59.1% đạt chuẩn</v>
      </c>
      <c r="E4" s="40"/>
      <c r="F4" s="41" t="str">
        <f>IF(B3&gt;0, TEXT(F3/B3, "0.0%") &amp; " cần bổ sung", "0%")</f>
        <v>27.3% cần bổ sung</v>
      </c>
      <c r="G4" s="42"/>
      <c r="H4" s="43" t="str">
        <f>IF(B3&gt;0, TEXT(H3/B3, "0.0%") &amp; " cần xử lý", "0%")</f>
        <v>13.6% cần xử lý</v>
      </c>
      <c r="I4" s="44"/>
      <c r="J4" s="20"/>
      <c r="K4" s="20"/>
      <c r="L4" s="20"/>
      <c r="M4" s="20"/>
      <c r="N4" s="20"/>
      <c r="O4" s="20"/>
      <c r="P4" s="20"/>
      <c r="Q4" s="20"/>
      <c r="R4" s="20"/>
      <c r="S4" s="20"/>
      <c r="T4" s="20"/>
      <c r="U4" s="20"/>
      <c r="V4" s="20"/>
      <c r="W4" s="20"/>
      <c r="X4" s="20"/>
      <c r="Y4" s="20"/>
      <c r="Z4" s="20"/>
    </row>
    <row r="6" ht="28.5" customHeight="1">
      <c r="B6" s="45" t="s">
        <v>0</v>
      </c>
      <c r="C6" s="46" t="s">
        <v>173</v>
      </c>
      <c r="D6" s="46" t="s">
        <v>494</v>
      </c>
      <c r="E6" s="46" t="s">
        <v>495</v>
      </c>
      <c r="F6" s="46" t="s">
        <v>497</v>
      </c>
      <c r="G6" s="46" t="s">
        <v>498</v>
      </c>
      <c r="H6" s="46" t="s">
        <v>499</v>
      </c>
      <c r="I6" s="47" t="s">
        <v>500</v>
      </c>
    </row>
    <row r="7">
      <c r="B7" s="48">
        <v>1.0</v>
      </c>
      <c r="C7" s="49" t="s">
        <v>191</v>
      </c>
      <c r="D7" s="50" t="s">
        <v>193</v>
      </c>
      <c r="E7" s="50" t="s">
        <v>502</v>
      </c>
      <c r="F7" s="50" t="s">
        <v>503</v>
      </c>
      <c r="G7" s="51" t="s">
        <v>504</v>
      </c>
      <c r="H7" s="51" t="s">
        <v>505</v>
      </c>
      <c r="I7" s="52" t="s">
        <v>506</v>
      </c>
    </row>
    <row r="8">
      <c r="B8" s="48">
        <v>2.0</v>
      </c>
      <c r="C8" s="49" t="s">
        <v>206</v>
      </c>
      <c r="D8" s="50" t="s">
        <v>208</v>
      </c>
      <c r="E8" s="50" t="s">
        <v>502</v>
      </c>
      <c r="F8" s="50" t="s">
        <v>503</v>
      </c>
      <c r="G8" s="51" t="s">
        <v>508</v>
      </c>
      <c r="H8" s="51" t="s">
        <v>510</v>
      </c>
      <c r="I8" s="52" t="s">
        <v>506</v>
      </c>
    </row>
    <row r="9">
      <c r="B9" s="48">
        <v>3.0</v>
      </c>
      <c r="C9" s="49" t="s">
        <v>220</v>
      </c>
      <c r="D9" s="50" t="s">
        <v>512</v>
      </c>
      <c r="E9" s="50" t="s">
        <v>513</v>
      </c>
      <c r="F9" s="50" t="s">
        <v>514</v>
      </c>
      <c r="G9" s="51" t="s">
        <v>516</v>
      </c>
      <c r="H9" s="51" t="s">
        <v>519</v>
      </c>
      <c r="I9" s="52" t="s">
        <v>506</v>
      </c>
    </row>
    <row r="10">
      <c r="B10" s="48">
        <v>4.0</v>
      </c>
      <c r="C10" s="49" t="s">
        <v>225</v>
      </c>
      <c r="D10" s="50" t="s">
        <v>522</v>
      </c>
      <c r="E10" s="50" t="s">
        <v>502</v>
      </c>
      <c r="F10" s="50" t="s">
        <v>503</v>
      </c>
      <c r="G10" s="51" t="s">
        <v>523</v>
      </c>
      <c r="H10" s="51" t="s">
        <v>524</v>
      </c>
      <c r="I10" s="52" t="s">
        <v>506</v>
      </c>
    </row>
    <row r="11">
      <c r="B11" s="48">
        <v>5.0</v>
      </c>
      <c r="C11" s="49" t="s">
        <v>236</v>
      </c>
      <c r="D11" s="50" t="s">
        <v>237</v>
      </c>
      <c r="E11" s="50" t="s">
        <v>502</v>
      </c>
      <c r="F11" s="50" t="s">
        <v>503</v>
      </c>
      <c r="G11" s="51" t="s">
        <v>525</v>
      </c>
      <c r="H11" s="51" t="s">
        <v>526</v>
      </c>
      <c r="I11" s="52" t="s">
        <v>506</v>
      </c>
    </row>
    <row r="12">
      <c r="B12" s="48">
        <v>6.0</v>
      </c>
      <c r="C12" s="49" t="s">
        <v>242</v>
      </c>
      <c r="D12" s="50" t="s">
        <v>244</v>
      </c>
      <c r="E12" s="50" t="s">
        <v>527</v>
      </c>
      <c r="F12" s="50" t="s">
        <v>528</v>
      </c>
      <c r="G12" s="51" t="s">
        <v>529</v>
      </c>
      <c r="H12" s="51" t="s">
        <v>531</v>
      </c>
      <c r="I12" s="52" t="s">
        <v>506</v>
      </c>
    </row>
    <row r="13">
      <c r="B13" s="48">
        <v>7.0</v>
      </c>
      <c r="C13" s="49" t="s">
        <v>254</v>
      </c>
      <c r="D13" s="50" t="s">
        <v>255</v>
      </c>
      <c r="E13" s="50" t="s">
        <v>502</v>
      </c>
      <c r="F13" s="50" t="s">
        <v>503</v>
      </c>
      <c r="G13" s="51" t="s">
        <v>534</v>
      </c>
      <c r="H13" s="51" t="s">
        <v>536</v>
      </c>
      <c r="I13" s="52" t="s">
        <v>506</v>
      </c>
    </row>
    <row r="14">
      <c r="B14" s="48">
        <v>8.0</v>
      </c>
      <c r="C14" s="49" t="s">
        <v>258</v>
      </c>
      <c r="D14" s="50" t="s">
        <v>259</v>
      </c>
      <c r="E14" s="50" t="s">
        <v>513</v>
      </c>
      <c r="F14" s="50" t="s">
        <v>514</v>
      </c>
      <c r="G14" s="51" t="s">
        <v>538</v>
      </c>
      <c r="H14" s="51" t="s">
        <v>539</v>
      </c>
      <c r="I14" s="52" t="s">
        <v>506</v>
      </c>
    </row>
    <row r="15">
      <c r="B15" s="48">
        <v>9.0</v>
      </c>
      <c r="C15" s="49" t="s">
        <v>268</v>
      </c>
      <c r="D15" s="50" t="s">
        <v>542</v>
      </c>
      <c r="E15" s="50" t="s">
        <v>513</v>
      </c>
      <c r="F15" s="50" t="s">
        <v>503</v>
      </c>
      <c r="G15" s="51" t="s">
        <v>544</v>
      </c>
      <c r="H15" s="51" t="s">
        <v>545</v>
      </c>
      <c r="I15" s="52" t="s">
        <v>506</v>
      </c>
    </row>
    <row r="16">
      <c r="B16" s="48">
        <v>10.0</v>
      </c>
      <c r="C16" s="49" t="s">
        <v>273</v>
      </c>
      <c r="D16" s="50" t="s">
        <v>275</v>
      </c>
      <c r="E16" s="50" t="s">
        <v>502</v>
      </c>
      <c r="F16" s="50" t="s">
        <v>503</v>
      </c>
      <c r="G16" s="51" t="s">
        <v>547</v>
      </c>
      <c r="H16" s="51" t="s">
        <v>548</v>
      </c>
      <c r="I16" s="52" t="s">
        <v>506</v>
      </c>
    </row>
    <row r="17">
      <c r="B17" s="48">
        <v>11.0</v>
      </c>
      <c r="C17" s="49" t="s">
        <v>291</v>
      </c>
      <c r="D17" s="50" t="s">
        <v>292</v>
      </c>
      <c r="E17" s="50" t="s">
        <v>527</v>
      </c>
      <c r="F17" s="50" t="s">
        <v>528</v>
      </c>
      <c r="G17" s="51" t="s">
        <v>550</v>
      </c>
      <c r="H17" s="51" t="s">
        <v>551</v>
      </c>
      <c r="I17" s="52" t="s">
        <v>506</v>
      </c>
    </row>
    <row r="18">
      <c r="B18" s="48">
        <v>12.0</v>
      </c>
      <c r="C18" s="49" t="s">
        <v>295</v>
      </c>
      <c r="D18" s="50" t="s">
        <v>552</v>
      </c>
      <c r="E18" s="50" t="s">
        <v>502</v>
      </c>
      <c r="F18" s="50" t="s">
        <v>503</v>
      </c>
      <c r="G18" s="51" t="s">
        <v>553</v>
      </c>
      <c r="H18" s="51" t="s">
        <v>554</v>
      </c>
      <c r="I18" s="52" t="s">
        <v>506</v>
      </c>
    </row>
    <row r="19">
      <c r="B19" s="48">
        <v>13.0</v>
      </c>
      <c r="C19" s="49" t="s">
        <v>307</v>
      </c>
      <c r="D19" s="50" t="s">
        <v>555</v>
      </c>
      <c r="E19" s="50" t="s">
        <v>513</v>
      </c>
      <c r="F19" s="50" t="s">
        <v>514</v>
      </c>
      <c r="G19" s="51" t="s">
        <v>557</v>
      </c>
      <c r="H19" s="51" t="s">
        <v>558</v>
      </c>
      <c r="I19" s="52" t="s">
        <v>506</v>
      </c>
    </row>
    <row r="20">
      <c r="B20" s="48">
        <v>14.0</v>
      </c>
      <c r="C20" s="49" t="s">
        <v>316</v>
      </c>
      <c r="D20" s="50" t="s">
        <v>560</v>
      </c>
      <c r="E20" s="50" t="s">
        <v>502</v>
      </c>
      <c r="F20" s="50" t="s">
        <v>503</v>
      </c>
      <c r="G20" s="51" t="s">
        <v>562</v>
      </c>
      <c r="H20" s="51" t="s">
        <v>564</v>
      </c>
      <c r="I20" s="52" t="s">
        <v>506</v>
      </c>
    </row>
    <row r="21">
      <c r="B21" s="48">
        <v>15.0</v>
      </c>
      <c r="C21" s="49" t="s">
        <v>327</v>
      </c>
      <c r="D21" s="50" t="s">
        <v>566</v>
      </c>
      <c r="E21" s="50" t="s">
        <v>513</v>
      </c>
      <c r="F21" s="50" t="s">
        <v>503</v>
      </c>
      <c r="G21" s="51" t="s">
        <v>568</v>
      </c>
      <c r="H21" s="51" t="s">
        <v>570</v>
      </c>
      <c r="I21" s="52" t="s">
        <v>506</v>
      </c>
    </row>
    <row r="22">
      <c r="B22" s="48">
        <v>16.0</v>
      </c>
      <c r="C22" s="49" t="s">
        <v>333</v>
      </c>
      <c r="D22" s="50" t="s">
        <v>572</v>
      </c>
      <c r="E22" s="50" t="s">
        <v>502</v>
      </c>
      <c r="F22" s="50" t="s">
        <v>503</v>
      </c>
      <c r="G22" s="51" t="s">
        <v>573</v>
      </c>
      <c r="H22" s="51" t="s">
        <v>574</v>
      </c>
      <c r="I22" s="52" t="s">
        <v>506</v>
      </c>
    </row>
    <row r="23">
      <c r="B23" s="48">
        <v>17.0</v>
      </c>
      <c r="C23" s="49" t="s">
        <v>344</v>
      </c>
      <c r="D23" s="50" t="s">
        <v>576</v>
      </c>
      <c r="E23" s="50" t="s">
        <v>502</v>
      </c>
      <c r="F23" s="50" t="s">
        <v>503</v>
      </c>
      <c r="G23" s="51" t="s">
        <v>577</v>
      </c>
      <c r="H23" s="51" t="s">
        <v>578</v>
      </c>
      <c r="I23" s="52" t="s">
        <v>506</v>
      </c>
    </row>
    <row r="24">
      <c r="B24" s="48">
        <v>18.0</v>
      </c>
      <c r="C24" s="49" t="s">
        <v>355</v>
      </c>
      <c r="D24" s="50" t="s">
        <v>356</v>
      </c>
      <c r="E24" s="50" t="s">
        <v>527</v>
      </c>
      <c r="F24" s="50" t="s">
        <v>514</v>
      </c>
      <c r="G24" s="51" t="s">
        <v>579</v>
      </c>
      <c r="H24" s="51" t="s">
        <v>580</v>
      </c>
      <c r="I24" s="52" t="s">
        <v>506</v>
      </c>
    </row>
    <row r="25">
      <c r="B25" s="48">
        <v>19.0</v>
      </c>
      <c r="C25" s="49" t="s">
        <v>363</v>
      </c>
      <c r="D25" s="50" t="s">
        <v>364</v>
      </c>
      <c r="E25" s="50" t="s">
        <v>502</v>
      </c>
      <c r="F25" s="50" t="s">
        <v>503</v>
      </c>
      <c r="G25" s="51" t="s">
        <v>582</v>
      </c>
      <c r="H25" s="51" t="s">
        <v>584</v>
      </c>
      <c r="I25" s="52" t="s">
        <v>506</v>
      </c>
    </row>
    <row r="26">
      <c r="B26" s="48">
        <v>20.0</v>
      </c>
      <c r="C26" s="49" t="s">
        <v>377</v>
      </c>
      <c r="D26" s="50" t="s">
        <v>586</v>
      </c>
      <c r="E26" s="50" t="s">
        <v>502</v>
      </c>
      <c r="F26" s="50" t="s">
        <v>503</v>
      </c>
      <c r="G26" s="51" t="s">
        <v>587</v>
      </c>
      <c r="H26" s="51" t="s">
        <v>588</v>
      </c>
      <c r="I26" s="52" t="s">
        <v>506</v>
      </c>
    </row>
    <row r="27">
      <c r="B27" s="48">
        <v>21.0</v>
      </c>
      <c r="C27" s="49" t="s">
        <v>384</v>
      </c>
      <c r="D27" s="50" t="s">
        <v>385</v>
      </c>
      <c r="E27" s="50" t="s">
        <v>502</v>
      </c>
      <c r="F27" s="50" t="s">
        <v>503</v>
      </c>
      <c r="G27" s="51" t="s">
        <v>589</v>
      </c>
      <c r="H27" s="51" t="s">
        <v>590</v>
      </c>
      <c r="I27" s="52" t="s">
        <v>506</v>
      </c>
    </row>
    <row r="28">
      <c r="B28" s="53">
        <v>22.0</v>
      </c>
      <c r="C28" s="54" t="s">
        <v>394</v>
      </c>
      <c r="D28" s="55" t="s">
        <v>599</v>
      </c>
      <c r="E28" s="55" t="s">
        <v>513</v>
      </c>
      <c r="F28" s="55" t="s">
        <v>514</v>
      </c>
      <c r="G28" s="56" t="s">
        <v>600</v>
      </c>
      <c r="H28" s="56" t="s">
        <v>602</v>
      </c>
      <c r="I28" s="57" t="s">
        <v>506</v>
      </c>
    </row>
  </sheetData>
  <mergeCells count="12">
    <mergeCell ref="B3:C3"/>
    <mergeCell ref="B4:C4"/>
    <mergeCell ref="D4:E4"/>
    <mergeCell ref="F4:G4"/>
    <mergeCell ref="H4:I4"/>
    <mergeCell ref="B2:C2"/>
    <mergeCell ref="D2:E2"/>
    <mergeCell ref="F2:G2"/>
    <mergeCell ref="H2:I2"/>
    <mergeCell ref="D3:E3"/>
    <mergeCell ref="F3:G3"/>
    <mergeCell ref="H3:I3"/>
  </mergeCells>
  <conditionalFormatting sqref="E7:E28">
    <cfRule type="containsText" dxfId="5" priority="1" stopIfTrue="1" operator="containsText" text="Khớp">
      <formula>NOT(ISERROR(SEARCH(("Khớp"),(E7))))</formula>
    </cfRule>
  </conditionalFormatting>
  <conditionalFormatting sqref="E7:E28">
    <cfRule type="containsText" dxfId="6" priority="2" stopIfTrue="1" operator="containsText" text="Thiếu sót">
      <formula>NOT(ISERROR(SEARCH(("Thiếu sót"),(E7))))</formula>
    </cfRule>
  </conditionalFormatting>
  <conditionalFormatting sqref="E7:E28">
    <cfRule type="containsText" dxfId="7" priority="3" stopIfTrue="1" operator="containsText" text="Chưa đúng">
      <formula>NOT(ISERROR(SEARCH(("Chưa đúng"),(E7))))</formula>
    </cfRule>
  </conditionalFormatting>
  <conditionalFormatting sqref="F7:F28">
    <cfRule type="containsText" dxfId="7" priority="4" stopIfTrue="1" operator="containsText" text="Cao">
      <formula>NOT(ISERROR(SEARCH(("Cao"),(F7))))</formula>
    </cfRule>
  </conditionalFormatting>
  <conditionalFormatting sqref="F7:F28">
    <cfRule type="containsText" dxfId="6" priority="5" stopIfTrue="1" operator="containsText" text="Trung bình">
      <formula>NOT(ISERROR(SEARCH(("Trung bình"),(F7))))</formula>
    </cfRule>
  </conditionalFormatting>
  <conditionalFormatting sqref="F7:F28">
    <cfRule type="containsText" dxfId="5" priority="6" stopIfTrue="1" operator="containsText" text="Thấp">
      <formula>NOT(ISERROR(SEARCH(("Thấp"),(F7))))</formula>
    </cfRule>
  </conditionalFormatting>
  <dataValidations>
    <dataValidation type="list" allowBlank="1" sqref="I7:I28">
      <formula1>"Hoàn thành,Đang xử lý,Chờ sửa"</formula1>
    </dataValidation>
  </dataValidations>
  <drawing r:id="rId1"/>
</worksheet>
</file>